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India_Benchmarks" sheetId="3" state="visible" r:id="rId5"/>
    <sheet name="Nepal_Benchmarks" sheetId="4" state="visible" r:id="rId6"/>
    <sheet name="Sourcing_Decision" sheetId="5" state="visible" r:id="rId7"/>
    <sheet name="Offer_Ladder" sheetId="6" state="visible" r:id="rId8"/>
    <sheet name="Strategy_Engine" sheetId="7" state="visible" r:id="rId9"/>
    <sheet name="Capital_Plan" sheetId="8" state="visible" r:id="rId10"/>
    <sheet name="Strategy_Scenarios" sheetId="9" state="visible" r:id="rId11"/>
    <sheet name="Strategy_vs_Base" sheetId="10" state="visible" r:id="rId12"/>
    <sheet name="Cost_Levers" sheetId="11" state="visible" r:id="rId13"/>
    <sheet name="Revenue_Levers" sheetId="12" state="visible" r:id="rId14"/>
    <sheet name="Label_Printer_BE" sheetId="13" state="visible" r:id="rId15"/>
    <sheet name="Competitor_Matrix" sheetId="14" state="visible" r:id="rId16"/>
    <sheet name="Priority_Matrix" sheetId="15" state="visible" r:id="rId17"/>
    <sheet name="KPI_Targets" sheetId="16" state="visible" r:id="rId18"/>
    <sheet name="Check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<sst xmlns="http://schemas.openxmlformats.org/spreadsheetml/2006/main" count="681" uniqueCount="515">
  <si>
    <t xml:space="preserve">Strategy model: custom packaging business, Kathmandu Valley (NPR). Research cut-off 2026-10-23.</t>
  </si>
  <si>
    <t xml:space="preserve">Purpose: decide WHAT to sell, WHERE to source it, and WHICH cost/revenue levers to pull, using Nepal and Indian small-business benchmarks.</t>
  </si>
  <si>
    <t xml:space="preserve">Blue = input/assumption; black = formula. Evidence grade in each sheet: V = fetched page, S = search snippet/secondary, A = analyst assumption.</t>
  </si>
  <si>
    <t xml:space="preserve">No supplier quotation has been received. Nepal customs duty for HS 4819 and India GST treatment are UNVERIFIED inputs on the Inputs sheet.</t>
  </si>
  <si>
    <t xml:space="preserve">Sheets: Inputs &gt; India_Benchmarks &gt; Nepal_Benchmarks &gt; Sourcing_Decision &gt; Offer_Ladder &gt; Strategy_Engine &gt; Strategy_vs_Base &gt; Cost_Levers &gt; Revenue_Levers &gt; Label_Printer_BE &gt; Competitor_Matrix &gt; Priority_Matrix &gt; KPI_Targets &gt; Checks.</t>
  </si>
  <si>
    <t xml:space="preserve">Strategy_vs_Base compares against v2 Base case of 08_financial_model.xlsx (values pasted, dated 2026-10-23).</t>
  </si>
  <si>
    <t xml:space="preserve">Input</t>
  </si>
  <si>
    <t xml:space="preserve">Value</t>
  </si>
  <si>
    <t xml:space="preserve">Unit</t>
  </si>
  <si>
    <t xml:space="preserve">Source / grade</t>
  </si>
  <si>
    <t xml:space="preserve">NPR per 100 INR</t>
  </si>
  <si>
    <t xml:space="preserve">NPR</t>
  </si>
  <si>
    <t xml:space="preserve">NRB selling 12 Oct 2026 (sharesansar). S/High</t>
  </si>
  <si>
    <t xml:space="preserve">India GST paid on domestic online purchase (not recoverable)</t>
  </si>
  <si>
    <t xml:space="preserve">ratio</t>
  </si>
  <si>
    <t xml:space="preserve">A - UNVERIFIED; GST on paper boxes may differ after 2025 rate changes; formal export invoices may be zero-rated</t>
  </si>
  <si>
    <t xml:space="preserve">Freight India-&gt;Kathmandu (% of value)</t>
  </si>
  <si>
    <t xml:space="preserve">A - courier/cargo estimate</t>
  </si>
  <si>
    <t xml:space="preserve">Nepal customs duty on printed cartons/bags (HS 4819)</t>
  </si>
  <si>
    <t xml:space="preserve">A - UNVERIFIED. Budget 2083/84 cut slabs 11-&gt;7 (Himalayan Times); check tariff line</t>
  </si>
  <si>
    <t xml:space="preserve">Nepal VAT</t>
  </si>
  <si>
    <t xml:space="preserve">Customsnepal FAQ / udhamsathi. S/Medium</t>
  </si>
  <si>
    <t xml:space="preserve">VAT registered? (1 = import &amp; supplier VAT recoverable)</t>
  </si>
  <si>
    <t xml:space="preserve">flag</t>
  </si>
  <si>
    <t xml:space="preserve">Decision variable</t>
  </si>
  <si>
    <t xml:space="preserve">Share of Nepal supplier spend billed with VAT</t>
  </si>
  <si>
    <t xml:space="preserve">A</t>
  </si>
  <si>
    <t xml:space="preserve">Fixed cost per import shipment (clearing agent + documentation + local pickup)</t>
  </si>
  <si>
    <t xml:space="preserve">A - UNVERIFIED; get clearing-agent quote</t>
  </si>
  <si>
    <t xml:space="preserve">Units per consolidated monthly import shipment</t>
  </si>
  <si>
    <t xml:space="preserve">units</t>
  </si>
  <si>
    <t xml:space="preserve">A - pooling several customers' short runs</t>
  </si>
  <si>
    <t xml:space="preserve">Own delivery cost per order (v1 assumption)</t>
  </si>
  <si>
    <t xml:space="preserve">v1 model Product_Pricing delivery range 400-800</t>
  </si>
  <si>
    <t xml:space="preserve">3PL last-mile cost per delivery</t>
  </si>
  <si>
    <t xml:space="preserve">Kathmandu Post 27 Aug 2026: Rs70-80 per delivery. S/Medium</t>
  </si>
  <si>
    <t xml:space="preserve">Payment/financing cost</t>
  </si>
  <si>
    <t xml:space="preserve">% rev</t>
  </si>
  <si>
    <t xml:space="preserve">Rework / rejection allowance</t>
  </si>
  <si>
    <t xml:space="preserve">Commission to channel partners on partner-sourced revenue</t>
  </si>
  <si>
    <t xml:space="preserve">Share of revenue sourced via partners</t>
  </si>
  <si>
    <t xml:space="preserve">Deposit share on T2/T3 orders</t>
  </si>
  <si>
    <t xml:space="preserve">Policy</t>
  </si>
  <si>
    <t xml:space="preserve">Founder pay (from month)</t>
  </si>
  <si>
    <t xml:space="preserve">NPR/month</t>
  </si>
  <si>
    <t xml:space="preserve">Same as 08 model for comparability</t>
  </si>
  <si>
    <t xml:space="preserve">Founder pay start month</t>
  </si>
  <si>
    <t xml:space="preserve">month</t>
  </si>
  <si>
    <t xml:space="preserve">Same as 08</t>
  </si>
  <si>
    <t xml:space="preserve">New-customer multiplier on plan (0.75 = strategy base, ~+50% vs 08 Base customers)</t>
  </si>
  <si>
    <t xml:space="preserve">x</t>
  </si>
  <si>
    <t xml:space="preserve">Sensitivity input</t>
  </si>
  <si>
    <t xml:space="preserve">Shadow cost of founder design hour</t>
  </si>
  <si>
    <t xml:space="preserve">NPR/hour</t>
  </si>
  <si>
    <t xml:space="preserve">Derived: landed-cost multiplier on Indian list price (excl. fixed shipment cost)</t>
  </si>
  <si>
    <t xml:space="preserve">Derived: Nepal supplier VAT leakage multiplier</t>
  </si>
  <si>
    <t xml:space="preserve">Derived: fixed import cost per unit when consolidated</t>
  </si>
  <si>
    <t xml:space="preserve">Product (Indian small-run supplier)</t>
  </si>
  <si>
    <t xml:space="preserve">Supplier</t>
  </si>
  <si>
    <t xml:space="preserve">Qty</t>
  </si>
  <si>
    <t xml:space="preserve">Price INR/unit</t>
  </si>
  <si>
    <t xml:space="preserve">NPR/unit (list)</t>
  </si>
  <si>
    <t xml:space="preserve">Landed NPR/unit (consolidated)</t>
  </si>
  <si>
    <t xml:space="preserve">Landed NPR/unit (single-customer shipment)</t>
  </si>
  <si>
    <t xml:space="preserve">Grade</t>
  </si>
  <si>
    <t xml:space="preserve">Source (accessed 2026-10-23)</t>
  </si>
  <si>
    <t xml:space="preserve">Flat mailer box, custom printed</t>
  </si>
  <si>
    <t xml:space="preserve">Printo</t>
  </si>
  <si>
    <t xml:space="preserve">V</t>
  </si>
  <si>
    <t xml:space="preserve">https://printo.in/categories/shipping-and-flat-mailer-boxes</t>
  </si>
  <si>
    <t xml:space="preserve">Single-colour printed mailer</t>
  </si>
  <si>
    <t xml:space="preserve">same</t>
  </si>
  <si>
    <t xml:space="preserve">Multicolour flat mailer</t>
  </si>
  <si>
    <t xml:space="preserve">Custom printed mono carton</t>
  </si>
  <si>
    <t xml:space="preserve">Sticker-embellished mailer (stock box + custom sticker)</t>
  </si>
  <si>
    <t xml:space="preserve">same - KEY MODEL TO COPY</t>
  </si>
  <si>
    <t xml:space="preserve">Shipping carton</t>
  </si>
  <si>
    <t xml:space="preserve">Top &amp; bottom rigid box</t>
  </si>
  <si>
    <t xml:space="preserve">Magnetic flap rigid box</t>
  </si>
  <si>
    <t xml:space="preserve">Custom packaging, 50-100 pcs (midpoint of 50-120)</t>
  </si>
  <si>
    <t xml:space="preserve">EzPac</t>
  </si>
  <si>
    <t xml:space="preserve">https://ezpac.in/blogs/news/custom-packaging-small-business-india</t>
  </si>
  <si>
    <t xml:space="preserve">Custom packaging, 200-500 pcs (midpoint of 30-80)</t>
  </si>
  <si>
    <t xml:space="preserve">Custom packaging, 500+ pcs (midpoint of 20-50)</t>
  </si>
  <si>
    <t xml:space="preserve">Kraft paper gift bag, logo, MOQ 500</t>
  </si>
  <si>
    <t xml:space="preserve">Mahalaxmi Enterprise (TradeIndia)</t>
  </si>
  <si>
    <t xml:space="preserve">S</t>
  </si>
  <si>
    <t xml:space="preserve">https://www.tradeindia.com/products/paper-gift-bag-c11491287.html</t>
  </si>
  <si>
    <t xml:space="preserve">Kraft brown paper bag, logo, MOQ 500</t>
  </si>
  <si>
    <t xml:space="preserve">Kolkata seller (TradeIndia)</t>
  </si>
  <si>
    <t xml:space="preserve">https://www.tradeindia.com/products/brown-paper-bag-c10899288.html</t>
  </si>
  <si>
    <t xml:space="preserve">Custom printed mailer (marketplace)</t>
  </si>
  <si>
    <t xml:space="preserve">IndiaMART Delhi listing</t>
  </si>
  <si>
    <t xml:space="preserve">https://dir.indiamart.com/impcat/mailing-boxes.html</t>
  </si>
  <si>
    <t xml:space="preserve">Label/sticker (range 1-10, midpoint)</t>
  </si>
  <si>
    <t xml:space="preserve">Guide</t>
  </si>
  <si>
    <t xml:space="preserve">https://www.onlineprintout.in/guides/packaging-printing-for-small-business/</t>
  </si>
  <si>
    <t xml:space="preserve">Setup charges (India guide): corrugated die-cut ₹2,000-8,000 per design; rigid box setup ₹5,000-15,000, MOQ ~1,000 offset. Digital short runs 50-100 units carry no die (onlineprintout.in). S</t>
  </si>
  <si>
    <t xml:space="preserve">EzPac claims 10-unit MOQ via digital printing, self-serve 3D design studio and live price calculator - removes sales and quoting cost. V</t>
  </si>
  <si>
    <t xml:space="preserve">Indian guide cost tips: start with branded labels on plain packaging; use standard sizes (custom die-cut 'doubles setup costs'); consolidate vendors; order Jan-Mar off-peak. V</t>
  </si>
  <si>
    <t xml:space="preserve">Printo standard turnaround 20-25 business days; express same-day in selected Indian cities. V</t>
  </si>
  <si>
    <t xml:space="preserve">Landed figures use UNVERIFIED duty/GST/fixed-cost inputs. Single-customer shipments are uneconomic; consolidation is the strategy.</t>
  </si>
  <si>
    <t xml:space="preserve">Item</t>
  </si>
  <si>
    <t xml:space="preserve">Seller</t>
  </si>
  <si>
    <t xml:space="preserve">Price NPR/unit</t>
  </si>
  <si>
    <t xml:space="preserve">Basis</t>
  </si>
  <si>
    <t xml:space="preserve">Source</t>
  </si>
  <si>
    <t xml:space="preserve">Pastry box (stock)</t>
  </si>
  <si>
    <t xml:space="preserve">The Box House Nepal, Thimi</t>
  </si>
  <si>
    <t xml:space="preserve">retail sale price</t>
  </si>
  <si>
    <t xml:space="preserve">https://boxhousenepal.com.np/</t>
  </si>
  <si>
    <t xml:space="preserve">2 lb corrugated cake box (stock)</t>
  </si>
  <si>
    <t xml:space="preserve">The Box House Nepal</t>
  </si>
  <si>
    <t xml:space="preserve">12in kraft pizza box (stock)</t>
  </si>
  <si>
    <t xml:space="preserve">10in pizza box (stock), per unit from pack of 50</t>
  </si>
  <si>
    <t xml:space="preserve">1,249 / 50</t>
  </si>
  <si>
    <t xml:space="preserve">3PL delivery in Kathmandu</t>
  </si>
  <si>
    <t xml:space="preserve">Logistics providers (news)</t>
  </si>
  <si>
    <t xml:space="preserve">per delivery</t>
  </si>
  <si>
    <t xml:space="preserve">https://kathmandupost.com/money/2026/08/27/fast-delivery-changes-the-game-for-nepal-s-online-sellers</t>
  </si>
  <si>
    <t xml:space="preserve">v1 model assumption: folding carton supplier cost @250</t>
  </si>
  <si>
    <t xml:space="preserve">Assumption</t>
  </si>
  <si>
    <t xml:space="preserve">+9,000 setup</t>
  </si>
  <si>
    <t xml:space="preserve">07_product_pricing_model.csv</t>
  </si>
  <si>
    <t xml:space="preserve">v1 model assumption: mailer supplier cost @250</t>
  </si>
  <si>
    <t xml:space="preserve">+4,000 setup</t>
  </si>
  <si>
    <t xml:space="preserve">07</t>
  </si>
  <si>
    <t xml:space="preserve">v1 model assumption: kraft bag supplier cost @500</t>
  </si>
  <si>
    <t xml:space="preserve">+2,500 setup</t>
  </si>
  <si>
    <t xml:space="preserve">v1 model assumption: rigid box supplier cost @100</t>
  </si>
  <si>
    <t xml:space="preserve">+7,000 setup</t>
  </si>
  <si>
    <t xml:space="preserve">v1 model assumption: sticker 50mm @1000</t>
  </si>
  <si>
    <t xml:space="preserve">+500 setup</t>
  </si>
  <si>
    <t xml:space="preserve">Nepal market signals: 1,530 e-commerce firms applied for registration, 345 approved; Nepal Can Move 1,000+ merchants; Pathao Commerce 600+ merchants in 2 weeks; &gt;90% of online merchants in Kathmandu Valley (Kathmandu Post, 27 Aug 2026). S</t>
  </si>
  <si>
    <t xml:space="preserve">2018 Economic Census establishments: Kathmandu 123,994; Lalitpur 27,009; Bhaktapur 19,629 = 170,632 (all sectors; via stat.go.jp analysis). S</t>
  </si>
  <si>
    <t xml:space="preserve">Product / run</t>
  </si>
  <si>
    <t xml:space="preserve">Nepal unit cost (A)</t>
  </si>
  <si>
    <t xml:space="preserve">Nepal setup (A)</t>
  </si>
  <si>
    <t xml:space="preserve">Nepal effective NPR/unit (incl. setup, VAT leak)</t>
  </si>
  <si>
    <t xml:space="preserve">India list INR/unit</t>
  </si>
  <si>
    <t xml:space="preserve">India landed consolidated NPR/unit</t>
  </si>
  <si>
    <t xml:space="preserve">India landed single-shipment NPR/unit</t>
  </si>
  <si>
    <t xml:space="preserve">Cheapest option NPR/unit</t>
  </si>
  <si>
    <t xml:space="preserve">Decision</t>
  </si>
  <si>
    <t xml:space="preserve">Saving vs Nepal per order NPR</t>
  </si>
  <si>
    <t xml:space="preserve">Folding carton, short run</t>
  </si>
  <si>
    <t xml:space="preserve">Folding carton, bulk</t>
  </si>
  <si>
    <t xml:space="preserve">Printed mailer, short run</t>
  </si>
  <si>
    <t xml:space="preserve">Printed mailer, mid run</t>
  </si>
  <si>
    <t xml:space="preserve">Printed mailer, bulk</t>
  </si>
  <si>
    <t xml:space="preserve">Kraft bag, logo</t>
  </si>
  <si>
    <t xml:space="preserve">Rigid gift box</t>
  </si>
  <si>
    <t xml:space="preserve">Sticker 50mm</t>
  </si>
  <si>
    <t xml:space="preserve">Rule derived: runs below ~300 units of printed cartons -&gt; Indian digital printers (no die/plate) pooled into one monthly shipment; bulk runs, bags (bulky, cheap) and rigid boxes -&gt; Nepal suppliers. Re-run with real quotes and verified HS 4819 duty.</t>
  </si>
  <si>
    <t xml:space="preserve">Line (per representative order)</t>
  </si>
  <si>
    <t xml:space="preserve">T1 Brand Starter Kit</t>
  </si>
  <si>
    <t xml:space="preserve">T2 Short-run Custom</t>
  </si>
  <si>
    <t xml:space="preserve">T3 Bulk Custom (brokered)</t>
  </si>
  <si>
    <t xml:space="preserve">T4 Design-only package</t>
  </si>
  <si>
    <t xml:space="preserve">T5 Packaging Subscription</t>
  </si>
  <si>
    <t xml:space="preserve">Description</t>
  </si>
  <si>
    <t xml:space="preserve">100 stock mailers/boxes + 100 custom gang-run stickers + tissue, ready in 3-5 days</t>
  </si>
  <si>
    <t xml:space="preserve">200 digitally printed cartons (India consolidated) or local digital</t>
  </si>
  <si>
    <t xml:space="preserve">1,000 offset mailers/cartons/bags from Nepal factory</t>
  </si>
  <si>
    <t xml:space="preserve">Packaging + label design, dieline, mock-up, print-ready files</t>
  </si>
  <si>
    <t xml:space="preserve">300 branded units/month delivered from stock bought in bulk</t>
  </si>
  <si>
    <t xml:space="preserve">Units</t>
  </si>
  <si>
    <t xml:space="preserve">Unit selling price NPR</t>
  </si>
  <si>
    <t xml:space="preserve">Design / setup fee charged NPR</t>
  </si>
  <si>
    <t xml:space="preserve">Unit product cost NPR</t>
  </si>
  <si>
    <t xml:space="preserve">Add-on cost per unit (sticker, tissue, storage) NPR</t>
  </si>
  <si>
    <t xml:space="preserve">One-off supplier setup NPR</t>
  </si>
  <si>
    <t xml:space="preserve">Other direct cost (mock-up print, software share) NPR</t>
  </si>
  <si>
    <t xml:space="preserve">Revenue (ex-VAT)</t>
  </si>
  <si>
    <t xml:space="preserve">Direct cost incl. wastage 3% and Nepal VAT leakage</t>
  </si>
  <si>
    <t xml:space="preserve">Gross margin %</t>
  </si>
  <si>
    <t xml:space="preserve">Delivery (3PL) + payment + rework</t>
  </si>
  <si>
    <t xml:space="preserve">Contribution per order</t>
  </si>
  <si>
    <t xml:space="preserve">Contribution margin %</t>
  </si>
  <si>
    <t xml:space="preserve">Monthly reorder / retention probability</t>
  </si>
  <si>
    <t xml:space="preserve">Upfront payment share</t>
  </si>
  <si>
    <t xml:space="preserve">T1 copies Printo's 'sticker-embellished mailer': stock box + custom sticker gives a branded look without die or plate costs. T1 stock cost uses Box House 2lb cake-box retail price (NPR 35) as a proxy (V).</t>
  </si>
  <si>
    <t xml:space="preserve">T2 product cost links to Sourcing_Decision (India digital, consolidated, short-run carton). T3 uses Nepal offset with die; die kept for reorders (standard-size library).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</si>
  <si>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</si>
  <si>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</si>
  <si>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</si>
  <si>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</si>
  <si>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</si>
  <si>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</si>
  <si>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</si>
  <si>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</si>
  <si>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</si>
  <si>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</si>
  <si>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</si>
  <si>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</si>
  <si>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12-mo</t>
  </si>
  <si>
    <t xml:space="preserve">  New customers (input x multiplier)</t>
  </si>
  <si>
    <t xml:space="preserve">  Base new-customer plan (input)</t>
  </si>
  <si>
    <t xml:space="preserve">  Active customers at start of month</t>
  </si>
  <si>
    <t xml:space="preserve">  Orders</t>
  </si>
  <si>
    <t xml:space="preserve">  Revenue</t>
  </si>
  <si>
    <t xml:space="preserve">  Contribution</t>
  </si>
  <si>
    <t xml:space="preserve">  Cash received</t>
  </si>
  <si>
    <t xml:space="preserve">  Direct cost + delivery paid</t>
  </si>
  <si>
    <t xml:space="preserve">TOTALS</t>
  </si>
  <si>
    <t xml:space="preserve">New paying customers</t>
  </si>
  <si>
    <t xml:space="preserve">Orders</t>
  </si>
  <si>
    <t xml:space="preserve">Revenue</t>
  </si>
  <si>
    <t xml:space="preserve">Contribution</t>
  </si>
  <si>
    <t xml:space="preserve">Cash received</t>
  </si>
  <si>
    <t xml:space="preserve">Direct + variable cost paid</t>
  </si>
  <si>
    <t xml:space="preserve">Fixed opex (see rows below)</t>
  </si>
  <si>
    <t xml:space="preserve">  Rent (home office M1-4, then shared room)</t>
  </si>
  <si>
    <t xml:space="preserve">  Utilities &amp; internet</t>
  </si>
  <si>
    <t xml:space="preserve">  Software</t>
  </si>
  <si>
    <t xml:space="preserve">  Marketing (shifted to partners/referrals)</t>
  </si>
  <si>
    <t xml:space="preserve">  Transport (deliveries via 3PL per order)</t>
  </si>
  <si>
    <t xml:space="preserve">  Accounting &amp; compliance</t>
  </si>
  <si>
    <t xml:space="preserve">  Misc.</t>
  </si>
  <si>
    <t xml:space="preserve">Total fixed opex</t>
  </si>
  <si>
    <t xml:space="preserve">Founder pay</t>
  </si>
  <si>
    <t xml:space="preserve">Operating profit before founder pay</t>
  </si>
  <si>
    <t xml:space="preserve">Operating profit after founder pay</t>
  </si>
  <si>
    <t xml:space="preserve">Net cash flow</t>
  </si>
  <si>
    <t xml:space="preserve">Closing cash (opening from Capital_Plan)</t>
  </si>
  <si>
    <t xml:space="preserve">Cumulative revenue (VAT threshold test)</t>
  </si>
  <si>
    <t xml:space="preserve">12-mo revenue</t>
  </si>
  <si>
    <t xml:space="preserve">12-mo contribution</t>
  </si>
  <si>
    <t xml:space="preserve">12-mo op. profit after founder</t>
  </si>
  <si>
    <t xml:space="preserve">Minimum closing cash</t>
  </si>
  <si>
    <t xml:space="preserve">Ending cash</t>
  </si>
  <si>
    <t xml:space="preserve">Solvent within NPR 5L (min cash &gt;= -contingency)?</t>
  </si>
  <si>
    <t xml:space="preserve">First month op. profit &gt;= 0 (before founder)</t>
  </si>
  <si>
    <t xml:space="preserve">Paying customers acquired (excl. design-only)</t>
  </si>
  <si>
    <t xml:space="preserve">Average order value</t>
  </si>
  <si>
    <t xml:space="preserve">Month-12 op. profit after founder</t>
  </si>
  <si>
    <t xml:space="preserve">Cumulative revenue crosses NPR 30 lakh (services/mixed VAT threshold) in month</t>
  </si>
  <si>
    <t xml:space="preserve">Line (strategy launch, NPR)</t>
  </si>
  <si>
    <t xml:space="preserve">Amount</t>
  </si>
  <si>
    <t xml:space="preserve">Change vs 08 Config B</t>
  </si>
  <si>
    <t xml:space="preserve">Refurbished laptop</t>
  </si>
  <si>
    <t xml:space="preserve">Design software 12 months</t>
  </si>
  <si>
    <t xml:space="preserve">Hand tools &amp; finishing kit</t>
  </si>
  <si>
    <t xml:space="preserve">-10,000: no powered tools; cutting mats, creasing, guillotine A3</t>
  </si>
  <si>
    <t xml:space="preserve">Furniture &amp; storage</t>
  </si>
  <si>
    <t xml:space="preserve">-10,000: home office first 4 months</t>
  </si>
  <si>
    <t xml:space="preserve">Premises deposit</t>
  </si>
  <si>
    <t xml:space="preserve">-25,000: defer until &gt;=15 active customers</t>
  </si>
  <si>
    <t xml:space="preserve">Standard stock inventory (boxes/bags in 4-6 standard sizes) + sticker media</t>
  </si>
  <si>
    <t xml:space="preserve">NEW: enables T1 Starter Kit, 3-5 day delivery</t>
  </si>
  <si>
    <t xml:space="preserve">Sample kits for outreach</t>
  </si>
  <si>
    <t xml:space="preserve">Registration, CA, e-commerce registration</t>
  </si>
  <si>
    <t xml:space="preserve">same; adds E-commerce Act listing</t>
  </si>
  <si>
    <t xml:space="preserve">Launch marketing (partner onboarding, referral credits)</t>
  </si>
  <si>
    <t xml:space="preserve">-5,000</t>
  </si>
  <si>
    <t xml:space="preserve">Website + instant price calculator (fixed SKUs)</t>
  </si>
  <si>
    <t xml:space="preserve">+5,000: copy EzPac/Printo self-serve pricing</t>
  </si>
  <si>
    <t xml:space="preserve">Delivery setup (3PL account)</t>
  </si>
  <si>
    <t xml:space="preserve">Set-up subtotal</t>
  </si>
  <si>
    <t xml:space="preserve">Contingency</t>
  </si>
  <si>
    <t xml:space="preserve">Opening operating cash (working capital)</t>
  </si>
  <si>
    <t xml:space="preserve">TOTAL</t>
  </si>
  <si>
    <t xml:space="preserve">Within ceiling?</t>
  </si>
  <si>
    <t xml:space="preserve">Note: contingency is held outside the operating cash shown in Strategy_Engine; minimum cash &lt; 0 means contingency is being consumed, &lt; -50,000 means the NPR 5L ceiling is breached.</t>
  </si>
  <si>
    <t xml:space="preserve">Scenario</t>
  </si>
  <si>
    <t xml:space="preserve">Inputs changed (from Strategy base)</t>
  </si>
  <si>
    <t xml:space="preserve">CM %</t>
  </si>
  <si>
    <t xml:space="preserve">Op. profit after founder</t>
  </si>
  <si>
    <t xml:space="preserve">Min operating cash</t>
  </si>
  <si>
    <t xml:space="preserve">Solvent in 5L?</t>
  </si>
  <si>
    <t xml:space="preserve">VAT 30L crossed (month)</t>
  </si>
  <si>
    <t xml:space="preserve">S0 Strategy base</t>
  </si>
  <si>
    <t xml:space="preserve">+50% customers vs 08 Base via starter kit + partner channel; T1 reorder 25%/month</t>
  </si>
  <si>
    <t xml:space="preserve">YES</t>
  </si>
  <si>
    <t xml:space="preserve">not in 12 mo</t>
  </si>
  <si>
    <t xml:space="preserve">S1 Conservative</t>
  </si>
  <si>
    <t xml:space="preserve">New-customer multiplier 0.5 (= 08 Base customer count)</t>
  </si>
  <si>
    <t xml:space="preserve">S2 Stress</t>
  </si>
  <si>
    <t xml:space="preserve">Multiplier 0.5; duty 30%; import fixed cost NPR 15,000; T1 price 70; T2 price 125; T1 reorder 15%; T2 reorder 10%</t>
  </si>
  <si>
    <t xml:space="preserve">S3 Severe</t>
  </si>
  <si>
    <t xml:space="preserve">S2 + multiplier 0.35 + founder paid NPR 25,000 from month 4</t>
  </si>
  <si>
    <t xml:space="preserve">NO</t>
  </si>
  <si>
    <t xml:space="preserve">S4 Base + VAT registered</t>
  </si>
  <si>
    <t xml:space="preserve">Strategy base with VAT registration; T1/T5 prices cut 8% to absorb 13% VAT for B2C-like buyers</t>
  </si>
  <si>
    <t xml:space="preserve">Values pasted from LibreOffice recalculation of this workbook with the listed input changes (2026-10-23). Reproduce by editing Inputs / Offer_Ladder.</t>
  </si>
  <si>
    <t xml:space="preserve">Metric (12 months)</t>
  </si>
  <si>
    <t xml:space="preserve">08 model v2 Base (pasted)</t>
  </si>
  <si>
    <t xml:space="preserve">Strategy (live)</t>
  </si>
  <si>
    <t xml:space="preserve">Change</t>
  </si>
  <si>
    <t xml:space="preserve">Comment</t>
  </si>
  <si>
    <t xml:space="preserve">Op. profit after founder pay</t>
  </si>
  <si>
    <t xml:space="preserve">Minimum operating cash (08: opening 235k incl. contingency; strategy: 235k excl. 50k contingency)</t>
  </si>
  <si>
    <t xml:space="preserve">Paying customers acquired</t>
  </si>
  <si>
    <t xml:space="preserve">Interpretation: the strategy trades a lower average order value for more customers, faster reorders and higher margin per order; see Cost_Levers and Revenue_Levers for the drivers.</t>
  </si>
  <si>
    <t xml:space="preserve">Base values pasted from 08_financial_model.xlsx v2 recalculated 2026-10-23; they do not update automatically.</t>
  </si>
  <si>
    <t xml:space="preserve">#</t>
  </si>
  <si>
    <t xml:space="preserve">Cost lever (what to do)</t>
  </si>
  <si>
    <t xml:space="preserve">Driver qty / yr</t>
  </si>
  <si>
    <t xml:space="preserve">Saving per unit NPR</t>
  </si>
  <si>
    <t xml:space="preserve">Annual saving NPR</t>
  </si>
  <si>
    <t xml:space="preserve">Cash/one-off saving NPR</t>
  </si>
  <si>
    <t xml:space="preserve">Basis &amp; evidence</t>
  </si>
  <si>
    <t xml:space="preserve">C1</t>
  </si>
  <si>
    <t xml:space="preserve">Source short-run cartons from Indian digital printers, pooled monthly</t>
  </si>
  <si>
    <t xml:space="preserve">India_Benchmarks (Printo ₹33 mono carton, V) vs Nepal offset with NPR 9,000 die/plate (A)</t>
  </si>
  <si>
    <t xml:space="preserve">C2</t>
  </si>
  <si>
    <t xml:space="preserve">Gang-run stickers: batch all customers' sticker jobs on shared sheets weekly</t>
  </si>
  <si>
    <t xml:space="preserve">v1 sticker cost NPR 9 @100 vs ~NPR 4 when ganged (A); Indian guide: labels ₹1-10 (S)</t>
  </si>
  <si>
    <t xml:space="preserve">C3</t>
  </si>
  <si>
    <t xml:space="preserve">Standard-size library (4-6 sizes): reuse dies on reorders, no new die per customer</t>
  </si>
  <si>
    <t xml:space="preserve">Indian guide: custom die-cut doubles setup cost; die ₹2,000-8,000 (V). Assumes 50% of bulk orders reuse a die</t>
  </si>
  <si>
    <t xml:space="preserve">C4</t>
  </si>
  <si>
    <t xml:space="preserve">Use 3PL last-mile (NPR 70-80) instead of own delivery</t>
  </si>
  <si>
    <t xml:space="preserve">Kathmandu Post 27 Aug 2026 (S)</t>
  </si>
  <si>
    <t xml:space="preserve">C5</t>
  </si>
  <si>
    <t xml:space="preserve">Home office until 15 active customers (defer rent and deposit)</t>
  </si>
  <si>
    <t xml:space="preserve">4</t>
  </si>
  <si>
    <t xml:space="preserve">8000</t>
  </si>
  <si>
    <t xml:space="preserve">25000</t>
  </si>
  <si>
    <t xml:space="preserve">Capital_Plan</t>
  </si>
  <si>
    <t xml:space="preserve">C6</t>
  </si>
  <si>
    <t xml:space="preserve">Voluntary VAT registration (recover supplier/import VAT) - only if most customers are VAT-registered businesses</t>
  </si>
  <si>
    <t xml:space="preserve">Leakage = 13% x VAT-billed share (A). Trade-off: must add 13% to prices</t>
  </si>
  <si>
    <t xml:space="preserve">C7</t>
  </si>
  <si>
    <t xml:space="preserve">Design templates per segment (bakery, skincare, boutique): cut design hours 3 -&gt; 1 per order</t>
  </si>
  <si>
    <t xml:space="preserve">Founder time value (A)</t>
  </si>
  <si>
    <t xml:space="preserve">C8</t>
  </si>
  <si>
    <t xml:space="preserve">Off-peak bulk buying of standard stock (Jan-Mar) - 5% lower stock cost</t>
  </si>
  <si>
    <t xml:space="preserve">Indian guide: order Jan-Mar when printers have capacity (V). 5% is A</t>
  </si>
  <si>
    <t xml:space="preserve">C9</t>
  </si>
  <si>
    <t xml:space="preserve">Deposit pass-through: 50% customer deposit funds supplier deposit (working capital freed)</t>
  </si>
  <si>
    <t xml:space="preserve">Policy; shown as cash timing benefit for a T3 month</t>
  </si>
  <si>
    <t xml:space="preserve">C1-C4 and C8 are already embedded in Offer_Ladder/Strategy_Engine costs; this sheet shows how much each contributes. C6 is NOT applied in the engine (vat_reg = 0).</t>
  </si>
  <si>
    <t xml:space="preserve">Revenue lever (what to do)</t>
  </si>
  <si>
    <t xml:space="preserve">Extra orders / yr</t>
  </si>
  <si>
    <t xml:space="preserve">Revenue per order NPR</t>
  </si>
  <si>
    <t xml:space="preserve">Margin %</t>
  </si>
  <si>
    <t xml:space="preserve">Annual contribution NPR</t>
  </si>
  <si>
    <t xml:space="preserve">Cost to run / yr</t>
  </si>
  <si>
    <t xml:space="preserve">Net gain NPR</t>
  </si>
  <si>
    <t xml:space="preserve">R1</t>
  </si>
  <si>
    <t xml:space="preserve">Bundle upsell: sticker + tissue + thank-you card + bag on every box order (+15% AOV on 40% of orders)</t>
  </si>
  <si>
    <t xml:space="preserve">Printo/EzPac sell accessories; margin A</t>
  </si>
  <si>
    <t xml:space="preserve">R2</t>
  </si>
  <si>
    <t xml:space="preserve">Reorder automation: WhatsApp reminders at 45/75 days, saved dielines (+5 pts monthly reorder on T1-T3)</t>
  </si>
  <si>
    <t xml:space="preserve">R3</t>
  </si>
  <si>
    <t xml:space="preserve">Logistics-partner channel: co-offer to Nepal Can Move (1,000+ merchants) &amp; Pathao Commerce (600+) sellers; 1% convert</t>
  </si>
  <si>
    <t xml:space="preserve">Merchant counts: Kathmandu Post 27 Aug 2026 (S); conversion &amp; orders A</t>
  </si>
  <si>
    <t xml:space="preserve">R4</t>
  </si>
  <si>
    <t xml:space="preserve">Design-only packages for brands that print elsewhere</t>
  </si>
  <si>
    <t xml:space="preserve">High-margin, zero inventory; A</t>
  </si>
  <si>
    <t xml:space="preserve">R5</t>
  </si>
  <si>
    <t xml:space="preserve">Festival &amp; wedding gifting campaign (Dashain-Tihar, Mangsir-Falgun weddings): rigid/gift boxes for corporates</t>
  </si>
  <si>
    <t xml:space="preserve">Rigid box economics from 07; A</t>
  </si>
  <si>
    <t xml:space="preserve">R6</t>
  </si>
  <si>
    <t xml:space="preserve">Packaging subscription (hold stock, monthly drops) for top 10% customers</t>
  </si>
  <si>
    <t xml:space="preserve">Already in engine T5; shown for attribution</t>
  </si>
  <si>
    <t xml:space="preserve">R7</t>
  </si>
  <si>
    <t xml:space="preserve">Referral credit 5% for both sides</t>
  </si>
  <si>
    <t xml:space="preserve">R8</t>
  </si>
  <si>
    <t xml:space="preserve">Export/handicraft premium packaging (Lokta, private label) like Prime Felt &amp; Agro</t>
  </si>
  <si>
    <t xml:space="preserve">PFA offers in-house design + manufacturing partner + private label (V)</t>
  </si>
  <si>
    <t xml:space="preserve">R9</t>
  </si>
  <si>
    <t xml:space="preserve">Fixed-SKU online catalogue with instant prices (EzPac/Printo model) on own site + Daraz</t>
  </si>
  <si>
    <t xml:space="preserve">EzPac live price calculator (V); 20% lift is A</t>
  </si>
  <si>
    <t xml:space="preserve">TOTAL (R1-R5, R7-R9 are upside NOT in Strategy_Engine; R6 is already in it)</t>
  </si>
  <si>
    <t xml:space="preserve">Epson ColorWorks C4050 advertised price (INR)</t>
  </si>
  <si>
    <t xml:space="preserve">IndiaMART listing, New Delhi (S)</t>
  </si>
  <si>
    <t xml:space="preserve">Converted NPR</t>
  </si>
  <si>
    <t xml:space="preserve">Landed multiplier (freight 5%, duty 10% A, VAT if unregistered)</t>
  </si>
  <si>
    <t xml:space="preserve">UNVERIFIED duty</t>
  </si>
  <si>
    <t xml:space="preserve">Landed cost NPR</t>
  </si>
  <si>
    <t xml:space="preserve">Add: cutter for die-cut shapes (sticker half-cutter, landed est.)</t>
  </si>
  <si>
    <t xml:space="preserve">Machinery sheet 08 (S/A)</t>
  </si>
  <si>
    <t xml:space="preserve">Total investment NPR</t>
  </si>
  <si>
    <t xml:space="preserve">Outsourced cost per 50mm label NPR (gang-run)</t>
  </si>
  <si>
    <t xml:space="preserve">Cost_Levers C2 (A)</t>
  </si>
  <si>
    <t xml:space="preserve">In-house media+ink cost per label NPR</t>
  </si>
  <si>
    <t xml:space="preserve">A - get Epson ink/media quote</t>
  </si>
  <si>
    <t xml:space="preserve">Operator time per label NPR</t>
  </si>
  <si>
    <t xml:space="preserve">Saving per label NPR</t>
  </si>
  <si>
    <t xml:space="preserve">Labels needed to recover investment</t>
  </si>
  <si>
    <t xml:space="preserve">Labels per year in Strategy_Engine (T1 kits x 100)</t>
  </si>
  <si>
    <t xml:space="preserve">Years to payback at strategy volume</t>
  </si>
  <si>
    <t xml:space="preserve">Rule: buy only if payback &lt;= 18 months on proven volume</t>
  </si>
  <si>
    <t xml:space="preserve">Competitor</t>
  </si>
  <si>
    <t xml:space="preserve">Country</t>
  </si>
  <si>
    <t xml:space="preserve">Low MOQ</t>
  </si>
  <si>
    <t xml:space="preserve">Design service</t>
  </si>
  <si>
    <t xml:space="preserve">Price transparency</t>
  </si>
  <si>
    <t xml:space="preserve">Speed</t>
  </si>
  <si>
    <t xml:space="preserve">Range</t>
  </si>
  <si>
    <t xml:space="preserve">Premium finish</t>
  </si>
  <si>
    <t xml:space="preserve">Valley presence</t>
  </si>
  <si>
    <t xml:space="preserve">Total /21</t>
  </si>
  <si>
    <t xml:space="preserve">What to COPY</t>
  </si>
  <si>
    <t xml:space="preserve">How WE beat them</t>
  </si>
  <si>
    <t xml:space="preserve">Evidence</t>
  </si>
  <si>
    <t xml:space="preserve">Nepal</t>
  </si>
  <si>
    <t xml:space="preserve">Online price list with visible prices; pack-of-50 stock boxes</t>
  </si>
  <si>
    <t xml:space="preserve">Add custom branding (stickers/sleeves) on stock boxes; design included</t>
  </si>
  <si>
    <t xml:space="preserve">Atlas Packaging</t>
  </si>
  <si>
    <t xml:space="preserve">Bakery specialisation; custom printed cake boxes</t>
  </si>
  <si>
    <t xml:space="preserve">Smaller runs + sample-first for new bakeries</t>
  </si>
  <si>
    <t xml:space="preserve">Prime Felt &amp; Agro (PFA)</t>
  </si>
  <si>
    <t xml:space="preserve">In-house design + manufacturing partner + private label; sample packs; 24h quote promise</t>
  </si>
  <si>
    <t xml:space="preserve">Focus on local brands not export; faster local turnaround</t>
  </si>
  <si>
    <t xml:space="preserve">Packaging Product (Lazimpat)</t>
  </si>
  <si>
    <t xml:space="preserve">Custom packaging and design services (directory)</t>
  </si>
  <si>
    <t xml:space="preserve">Transparent tiered pricing, starter kits</t>
  </si>
  <si>
    <t xml:space="preserve">Global Packaging / Ace / Modern / Shree Ganapati</t>
  </si>
  <si>
    <t xml:space="preserve">Corrugated capacity - use as T3 suppliers</t>
  </si>
  <si>
    <t xml:space="preserve">Partner, not fight: we bring them small brands</t>
  </si>
  <si>
    <t xml:space="preserve">Chandika Print Pack</t>
  </si>
  <si>
    <t xml:space="preserve">Industrial flexible packaging</t>
  </si>
  <si>
    <t xml:space="preserve">Not a target segment</t>
  </si>
  <si>
    <t xml:space="preserve">Handmade-paper makers (Mahaguthi, Nepali Paper Products)</t>
  </si>
  <si>
    <t xml:space="preserve">Lokta premium look; free samples</t>
  </si>
  <si>
    <t xml:space="preserve">Use as premium supplier for gifting tier</t>
  </si>
  <si>
    <t xml:space="preserve">India</t>
  </si>
  <si>
    <t xml:space="preserve">Fixed SKUs, instant pricing, sticker-embellished mailers, express tier</t>
  </si>
  <si>
    <t xml:space="preserve">Local delivery, NPR pricing, no import hassle for customer</t>
  </si>
  <si>
    <t xml:space="preserve">10-unit MOQ, self-serve design, live price calculator</t>
  </si>
  <si>
    <t xml:space="preserve">Hands-on local design &amp; sampling</t>
  </si>
  <si>
    <t xml:space="preserve">Diva Design (Ahmedabad)</t>
  </si>
  <si>
    <t xml:space="preserve">No-minimum sticker/label press built against 500 MOQ norm</t>
  </si>
  <si>
    <t xml:space="preserve">Local equivalent for Nepal</t>
  </si>
  <si>
    <t xml:space="preserve">IndiaMART small vendors (e.g., Mahalaxmi kraft bags ₹15@500)</t>
  </si>
  <si>
    <t xml:space="preserve">Low unit prices - benchmark ceiling</t>
  </si>
  <si>
    <t xml:space="preserve">Customer can't easily import small lots; we can consolidate</t>
  </si>
  <si>
    <t xml:space="preserve">OUR TARGET POSITION</t>
  </si>
  <si>
    <t xml:space="preserve">Combine Printo/EzPac service model with Nepal presence</t>
  </si>
  <si>
    <t xml:space="preserve">White space: no Valley player found combining low MOQ + design + transparent pricing</t>
  </si>
  <si>
    <t xml:space="preserve">Scores 0-3 are analyst judgements from limited evidence (V/S column); treat as hypotheses to validate by mystery-shopping 5 competitors.</t>
  </si>
  <si>
    <t xml:space="preserve">Initiative</t>
  </si>
  <si>
    <t xml:space="preserve">Impact 1-10</t>
  </si>
  <si>
    <t xml:space="preserve">Confidence 1-10</t>
  </si>
  <si>
    <t xml:space="preserve">Ease 1-10</t>
  </si>
  <si>
    <t xml:space="preserve">ICE score</t>
  </si>
  <si>
    <t xml:space="preserve">Rank</t>
  </si>
  <si>
    <t xml:space="preserve">When</t>
  </si>
  <si>
    <t xml:space="preserve">P1</t>
  </si>
  <si>
    <t xml:space="preserve">Launch T1 Brand Starter Kit (stock box + custom sticker) with fixed prices</t>
  </si>
  <si>
    <t xml:space="preserve">Week 1-4</t>
  </si>
  <si>
    <t xml:space="preserve">P2</t>
  </si>
  <si>
    <t xml:space="preserve">Get 3 Nepal quotes + 1 Indian digital quote per product; verify HS 4819 duty with clearing agent</t>
  </si>
  <si>
    <t xml:space="preserve">Week 1-2</t>
  </si>
  <si>
    <t xml:space="preserve">P3</t>
  </si>
  <si>
    <t xml:space="preserve">Partner with Nepal Can Move / Pathao Commerce for merchant introductions</t>
  </si>
  <si>
    <t xml:space="preserve">Week 3-8</t>
  </si>
  <si>
    <t xml:space="preserve">P4</t>
  </si>
  <si>
    <t xml:space="preserve">Standard-size library (4-6 sizes) and segment design templates</t>
  </si>
  <si>
    <t xml:space="preserve">Week 2-6</t>
  </si>
  <si>
    <t xml:space="preserve">P5</t>
  </si>
  <si>
    <t xml:space="preserve">Monthly consolidated India import for short-run cartons</t>
  </si>
  <si>
    <t xml:space="preserve">Month 2-3 (after duty verified)</t>
  </si>
  <si>
    <t xml:space="preserve">P6</t>
  </si>
  <si>
    <t xml:space="preserve">Gang-run sticker batching with one local digital printer</t>
  </si>
  <si>
    <t xml:space="preserve">Week 3-6</t>
  </si>
  <si>
    <t xml:space="preserve">P7</t>
  </si>
  <si>
    <t xml:space="preserve">Instant price calculator / fixed-SKU catalogue on website</t>
  </si>
  <si>
    <t xml:space="preserve">Month 2</t>
  </si>
  <si>
    <t xml:space="preserve">P8</t>
  </si>
  <si>
    <t xml:space="preserve">Design-only packages</t>
  </si>
  <si>
    <t xml:space="preserve">Week 1</t>
  </si>
  <si>
    <t xml:space="preserve">P9</t>
  </si>
  <si>
    <t xml:space="preserve">Reorder automation (WhatsApp reminders, saved files)</t>
  </si>
  <si>
    <t xml:space="preserve">From first order</t>
  </si>
  <si>
    <t xml:space="preserve">P10</t>
  </si>
  <si>
    <t xml:space="preserve">Festival/wedding gifting campaign</t>
  </si>
  <si>
    <t xml:space="preserve">6-8 weeks before Dashain/Tihar &amp; Mangsir</t>
  </si>
  <si>
    <t xml:space="preserve">P11</t>
  </si>
  <si>
    <t xml:space="preserve">Packaging subscription for top customers</t>
  </si>
  <si>
    <t xml:space="preserve">Month 4+</t>
  </si>
  <si>
    <t xml:space="preserve">P12</t>
  </si>
  <si>
    <t xml:space="preserve">Voluntary VAT registration (if B2B customers are VAT-registered)</t>
  </si>
  <si>
    <t xml:space="preserve">Decide with CA, Week 1</t>
  </si>
  <si>
    <t xml:space="preserve">P13</t>
  </si>
  <si>
    <t xml:space="preserve">Buy label printer / cutter</t>
  </si>
  <si>
    <t xml:space="preserve">Only if Label_Printer_BE payback &lt;= 18 months</t>
  </si>
  <si>
    <t xml:space="preserve">P14</t>
  </si>
  <si>
    <t xml:space="preserve">Rent premises</t>
  </si>
  <si>
    <t xml:space="preserve">After 15 active customers</t>
  </si>
  <si>
    <t xml:space="preserve">KPI</t>
  </si>
  <si>
    <t xml:space="preserve">Day 30</t>
  </si>
  <si>
    <t xml:space="preserve">Day 60</t>
  </si>
  <si>
    <t xml:space="preserve">Day 90</t>
  </si>
  <si>
    <t xml:space="preserve">Stop / change trigger</t>
  </si>
  <si>
    <t xml:space="preserve">Verified prospects listed</t>
  </si>
  <si>
    <t xml:space="preserve">&lt;100 by day 30</t>
  </si>
  <si>
    <t xml:space="preserve">Outreach contacts (cumulative)</t>
  </si>
  <si>
    <t xml:space="preserve">&lt;50% of target 3 weeks running</t>
  </si>
  <si>
    <t xml:space="preserve">Quote requests (cumulative)</t>
  </si>
  <si>
    <t xml:space="preserve">0 in any 3-week window</t>
  </si>
  <si>
    <t xml:space="preserve">Paying customers (cumulative)</t>
  </si>
  <si>
    <t xml:space="preserve">&lt;4 by day 90 -&gt; stop</t>
  </si>
  <si>
    <t xml:space="preserve">Billed revenue NPR (cumulative)</t>
  </si>
  <si>
    <t xml:space="preserve">&lt;50,000 by day 90 -&gt; stop</t>
  </si>
  <si>
    <t xml:space="preserve">Blended gross margin</t>
  </si>
  <si>
    <t xml:space="preserve">&lt;25% -&gt; change; &lt;15% -&gt; stop</t>
  </si>
  <si>
    <t xml:space="preserve">Contribution per order NPR</t>
  </si>
  <si>
    <t xml:space="preserve">2 orders in a row below -&gt; re-price</t>
  </si>
  <si>
    <t xml:space="preserve">Reorder rate (customers with 2+ orders)</t>
  </si>
  <si>
    <t xml:space="preserve">&lt;10% by day 90 -&gt; change offer</t>
  </si>
  <si>
    <t xml:space="preserve">On-time delivery</t>
  </si>
  <si>
    <t xml:space="preserve">&lt;80% -&gt; change supplier</t>
  </si>
  <si>
    <t xml:space="preserve">Cash balance NPR (operating)</t>
  </si>
  <si>
    <t xml:space="preserve">&lt;100,000 -&gt; freeze spend</t>
  </si>
  <si>
    <t xml:space="preserve">Check</t>
  </si>
  <si>
    <t xml:space="preserve">Result</t>
  </si>
  <si>
    <t xml:space="preserve">Capital plan totals NPR 5,00,000</t>
  </si>
  <si>
    <t xml:space="preserve">Opening operating cash positive</t>
  </si>
  <si>
    <t xml:space="preserve">Strategy revenue = sum of tier revenues</t>
  </si>
  <si>
    <t xml:space="preserve">Closing cash M12 = opening + sum net cash flow</t>
  </si>
  <si>
    <t xml:space="preserve">All tier gross margins between 0 and 100%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</si>
</sst>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" t="s">
        <v>6</v>
      </c>
      <c r="B1" s="1" t="s">
        <v>7</v>
      </c>
      <c r="C1" s="1" t="s">
        <v>8</v>
      </c>
      <c r="D1" s="1" t="s">
        <v>9</v>
      </c>
    </row>
    <row r="2" customFormat="false" ht="15" hidden="false" customHeight="false" outlineLevel="0" collapsed="false">
      <c r="A2" s="0" t="s">
        <v>10</v>
      </c>
      <c r="B2" s="2" t="n">
        <v>160.15</v>
      </c>
      <c r="C2" s="3" t="s">
        <v>11</v>
      </c>
      <c r="D2" s="3" t="s">
        <v>12</v>
      </c>
    </row>
    <row r="3" customFormat="false" ht="15" hidden="false" customHeight="false" outlineLevel="0" collapsed="false">
      <c r="A3" s="0" t="s">
        <v>13</v>
      </c>
      <c r="B3" s="2" t="n">
        <v>0.12</v>
      </c>
      <c r="C3" s="3" t="s">
        <v>14</v>
      </c>
      <c r="D3" s="3" t="s">
        <v>15</v>
      </c>
    </row>
    <row r="4" customFormat="false" ht="15" hidden="false" customHeight="false" outlineLevel="0" collapsed="false">
      <c r="A4" s="0" t="s">
        <v>16</v>
      </c>
      <c r="B4" s="2" t="n">
        <v>0.08</v>
      </c>
      <c r="C4" s="3" t="s">
        <v>14</v>
      </c>
      <c r="D4" s="3" t="s">
        <v>17</v>
      </c>
    </row>
    <row r="5" customFormat="false" ht="15" hidden="false" customHeight="false" outlineLevel="0" collapsed="false">
      <c r="A5" s="0" t="s">
        <v>18</v>
      </c>
      <c r="B5" s="2" t="n">
        <v>0.15</v>
      </c>
      <c r="C5" s="3" t="s">
        <v>14</v>
      </c>
      <c r="D5" s="3" t="s">
        <v>19</v>
      </c>
    </row>
    <row r="6" customFormat="false" ht="15" hidden="false" customHeight="false" outlineLevel="0" collapsed="false">
      <c r="A6" s="0" t="s">
        <v>20</v>
      </c>
      <c r="B6" s="2" t="n">
        <v>0.13</v>
      </c>
      <c r="C6" s="3" t="s">
        <v>14</v>
      </c>
      <c r="D6" s="3" t="s">
        <v>21</v>
      </c>
    </row>
    <row r="7" customFormat="false" ht="15" hidden="false" customHeight="false" outlineLevel="0" collapsed="false">
      <c r="A7" s="0" t="s">
        <v>22</v>
      </c>
      <c r="B7" s="2" t="n">
        <v>0</v>
      </c>
      <c r="C7" s="3" t="s">
        <v>23</v>
      </c>
      <c r="D7" s="3" t="s">
        <v>24</v>
      </c>
    </row>
    <row r="8" customFormat="false" ht="15" hidden="false" customHeight="false" outlineLevel="0" collapsed="false">
      <c r="A8" s="0" t="s">
        <v>25</v>
      </c>
      <c r="B8" s="2" t="n">
        <v>0.6</v>
      </c>
      <c r="C8" s="3" t="s">
        <v>14</v>
      </c>
      <c r="D8" s="3" t="s">
        <v>26</v>
      </c>
    </row>
    <row r="9" customFormat="false" ht="15" hidden="false" customHeight="false" outlineLevel="0" collapsed="false">
      <c r="A9" s="0" t="s">
        <v>27</v>
      </c>
      <c r="B9" s="2" t="n">
        <v>7000</v>
      </c>
      <c r="C9" s="3" t="s">
        <v>11</v>
      </c>
      <c r="D9" s="3" t="s">
        <v>28</v>
      </c>
    </row>
    <row r="10" customFormat="false" ht="15" hidden="false" customHeight="false" outlineLevel="0" collapsed="false">
      <c r="A10" s="0" t="s">
        <v>29</v>
      </c>
      <c r="B10" s="2" t="n">
        <v>1000</v>
      </c>
      <c r="C10" s="3" t="s">
        <v>30</v>
      </c>
      <c r="D10" s="3" t="s">
        <v>31</v>
      </c>
    </row>
    <row r="11" customFormat="false" ht="15" hidden="false" customHeight="false" outlineLevel="0" collapsed="false">
      <c r="A11" s="0" t="s">
        <v>32</v>
      </c>
      <c r="B11" s="2" t="n">
        <v>600</v>
      </c>
      <c r="C11" s="3" t="s">
        <v>11</v>
      </c>
      <c r="D11" s="3" t="s">
        <v>33</v>
      </c>
    </row>
    <row r="12" customFormat="false" ht="15" hidden="false" customHeight="false" outlineLevel="0" collapsed="false">
      <c r="A12" s="0" t="s">
        <v>34</v>
      </c>
      <c r="B12" s="2" t="n">
        <v>80</v>
      </c>
      <c r="C12" s="3" t="s">
        <v>11</v>
      </c>
      <c r="D12" s="3" t="s">
        <v>35</v>
      </c>
    </row>
    <row r="13" customFormat="false" ht="15" hidden="false" customHeight="false" outlineLevel="0" collapsed="false">
      <c r="A13" s="0" t="s">
        <v>36</v>
      </c>
      <c r="B13" s="2" t="n">
        <v>0.015</v>
      </c>
      <c r="C13" s="3" t="s">
        <v>37</v>
      </c>
      <c r="D13" s="3" t="s">
        <v>26</v>
      </c>
    </row>
    <row r="14" customFormat="false" ht="15" hidden="false" customHeight="false" outlineLevel="0" collapsed="false">
      <c r="A14" s="0" t="s">
        <v>38</v>
      </c>
      <c r="B14" s="2" t="n">
        <v>0.02</v>
      </c>
      <c r="C14" s="3" t="s">
        <v>37</v>
      </c>
      <c r="D14" s="3" t="s">
        <v>26</v>
      </c>
    </row>
    <row r="15" customFormat="false" ht="15" hidden="false" customHeight="false" outlineLevel="0" collapsed="false">
      <c r="A15" s="0" t="s">
        <v>39</v>
      </c>
      <c r="B15" s="2" t="n">
        <v>0.05</v>
      </c>
      <c r="C15" s="3" t="s">
        <v>37</v>
      </c>
      <c r="D15" s="3" t="s">
        <v>26</v>
      </c>
    </row>
    <row r="16" customFormat="false" ht="15" hidden="false" customHeight="false" outlineLevel="0" collapsed="false">
      <c r="A16" s="0" t="s">
        <v>40</v>
      </c>
      <c r="B16" s="2" t="n">
        <v>0.3</v>
      </c>
      <c r="C16" s="3" t="s">
        <v>14</v>
      </c>
      <c r="D16" s="3" t="s">
        <v>26</v>
      </c>
    </row>
    <row r="17" customFormat="false" ht="15" hidden="false" customHeight="false" outlineLevel="0" collapsed="false">
      <c r="A17" s="0" t="s">
        <v>41</v>
      </c>
      <c r="B17" s="2" t="n">
        <v>0.5</v>
      </c>
      <c r="C17" s="3" t="s">
        <v>14</v>
      </c>
      <c r="D17" s="3" t="s">
        <v>42</v>
      </c>
    </row>
    <row r="18" customFormat="false" ht="15" hidden="false" customHeight="false" outlineLevel="0" collapsed="false">
      <c r="A18" s="0" t="s">
        <v>43</v>
      </c>
      <c r="B18" s="2" t="n">
        <v>15000</v>
      </c>
      <c r="C18" s="3" t="s">
        <v>44</v>
      </c>
      <c r="D18" s="3" t="s">
        <v>45</v>
      </c>
    </row>
    <row r="19" customFormat="false" ht="15" hidden="false" customHeight="false" outlineLevel="0" collapsed="false">
      <c r="A19" s="0" t="s">
        <v>46</v>
      </c>
      <c r="B19" s="2" t="n">
        <v>7</v>
      </c>
      <c r="C19" s="3" t="s">
        <v>47</v>
      </c>
      <c r="D19" s="3" t="s">
        <v>48</v>
      </c>
    </row>
    <row r="20" customFormat="false" ht="15" hidden="false" customHeight="false" outlineLevel="0" collapsed="false">
      <c r="A20" s="0" t="s">
        <v>49</v>
      </c>
      <c r="B20" s="2" t="n">
        <v>0.75</v>
      </c>
      <c r="C20" s="3" t="s">
        <v>50</v>
      </c>
      <c r="D20" s="3" t="s">
        <v>51</v>
      </c>
    </row>
    <row r="21" customFormat="false" ht="15" hidden="false" customHeight="false" outlineLevel="0" collapsed="false">
      <c r="A21" s="0" t="s">
        <v>52</v>
      </c>
      <c r="B21" s="2" t="n">
        <v>400</v>
      </c>
      <c r="C21" s="3" t="s">
        <v>53</v>
      </c>
      <c r="D21" s="3" t="s">
        <v>26</v>
      </c>
    </row>
    <row r="23" customFormat="false" ht="15" hidden="false" customHeight="false" outlineLevel="0" collapsed="false">
      <c r="A23" s="4" t="s">
        <v>54</v>
      </c>
      <c r="B23" s="3" t="n">
        <f aca="false">(1+Inputs!$B$3)*(1+Inputs!$B$4)*(1+Inputs!$B$5)*(1+IF(Inputs!$B$7=1,0,Inputs!$B$6))</f>
        <v>1.5718752</v>
      </c>
    </row>
    <row r="24" customFormat="false" ht="15" hidden="false" customHeight="false" outlineLevel="0" collapsed="false">
      <c r="A24" s="0" t="s">
        <v>55</v>
      </c>
      <c r="B24" s="0" t="n">
        <f aca="false">1+(1-Inputs!$B$7)*Inputs!$B$6*Inputs!$B$8</f>
        <v>1.078</v>
      </c>
    </row>
    <row r="25" customFormat="false" ht="15" hidden="false" customHeight="false" outlineLevel="0" collapsed="false">
      <c r="A25" s="0" t="s">
        <v>56</v>
      </c>
      <c r="B25" s="0" t="n">
        <f aca="false">Inputs!$B$9/Inputs!$B$10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70"/>
  </cols>
  <sheetData>
    <row r="1" customFormat="false" ht="41.75" hidden="false" customHeight="fals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 customFormat="false" ht="15" hidden="false" customHeight="false" outlineLevel="0" collapsed="false">
      <c r="A2" s="0" t="s">
        <v>66</v>
      </c>
      <c r="B2" s="0" t="s">
        <v>67</v>
      </c>
      <c r="C2" s="2" t="n">
        <v>10</v>
      </c>
      <c r="D2" s="2" t="n">
        <v>30</v>
      </c>
      <c r="E2" s="3" t="n">
        <f aca="false">D2*Inputs!$B$2/100</f>
        <v>48.045</v>
      </c>
      <c r="F2" s="3" t="n">
        <f aca="false">E2*Inputs!$B$23+Inputs!$B$25</f>
        <v>82.520743984</v>
      </c>
      <c r="G2" s="3" t="n">
        <f aca="false">E2*Inputs!$B$23+Inputs!$B$9/C2</f>
        <v>775.520743984</v>
      </c>
      <c r="H2" s="3" t="s">
        <v>68</v>
      </c>
      <c r="I2" s="3" t="s">
        <v>69</v>
      </c>
    </row>
    <row r="3" customFormat="false" ht="15" hidden="false" customHeight="false" outlineLevel="0" collapsed="false">
      <c r="A3" s="0" t="s">
        <v>70</v>
      </c>
      <c r="B3" s="0" t="s">
        <v>67</v>
      </c>
      <c r="C3" s="2" t="n">
        <v>50</v>
      </c>
      <c r="D3" s="2" t="n">
        <v>33</v>
      </c>
      <c r="E3" s="3" t="n">
        <f aca="false">D3*Inputs!$B$2/100</f>
        <v>52.8495</v>
      </c>
      <c r="F3" s="3" t="n">
        <f aca="false">E3*Inputs!$B$23+Inputs!$B$25</f>
        <v>90.0728183824</v>
      </c>
      <c r="G3" s="3" t="n">
        <f aca="false">E3*Inputs!$B$23+Inputs!$B$9/C3</f>
        <v>223.0728183824</v>
      </c>
      <c r="H3" s="3" t="s">
        <v>68</v>
      </c>
      <c r="I3" s="3" t="s">
        <v>71</v>
      </c>
    </row>
    <row r="4" customFormat="false" ht="15" hidden="false" customHeight="false" outlineLevel="0" collapsed="false">
      <c r="A4" s="0" t="s">
        <v>72</v>
      </c>
      <c r="B4" s="0" t="s">
        <v>67</v>
      </c>
      <c r="C4" s="2" t="n">
        <v>500</v>
      </c>
      <c r="D4" s="2" t="n">
        <v>79</v>
      </c>
      <c r="E4" s="3" t="n">
        <f aca="false">D4*Inputs!$B$2/100</f>
        <v>126.5185</v>
      </c>
      <c r="F4" s="3" t="n">
        <f aca="false">E4*Inputs!$B$23+Inputs!$B$25</f>
        <v>205.8712924912</v>
      </c>
      <c r="G4" s="3" t="n">
        <f aca="false">E4*Inputs!$B$23+Inputs!$B$9/C4</f>
        <v>212.8712924912</v>
      </c>
      <c r="H4" s="3" t="s">
        <v>68</v>
      </c>
      <c r="I4" s="3" t="s">
        <v>71</v>
      </c>
    </row>
    <row r="5" customFormat="false" ht="15" hidden="false" customHeight="false" outlineLevel="0" collapsed="false">
      <c r="A5" s="0" t="s">
        <v>73</v>
      </c>
      <c r="B5" s="0" t="s">
        <v>67</v>
      </c>
      <c r="C5" s="2" t="n">
        <v>10</v>
      </c>
      <c r="D5" s="2" t="n">
        <v>33</v>
      </c>
      <c r="E5" s="3" t="n">
        <f aca="false">D5*Inputs!$B$2/100</f>
        <v>52.8495</v>
      </c>
      <c r="F5" s="3" t="n">
        <f aca="false">E5*Inputs!$B$23+Inputs!$B$25</f>
        <v>90.0728183824</v>
      </c>
      <c r="G5" s="3" t="n">
        <f aca="false">E5*Inputs!$B$23+Inputs!$B$9/C5</f>
        <v>783.0728183824</v>
      </c>
      <c r="H5" s="3" t="s">
        <v>68</v>
      </c>
      <c r="I5" s="3" t="s">
        <v>71</v>
      </c>
    </row>
    <row r="6" customFormat="false" ht="15" hidden="false" customHeight="false" outlineLevel="0" collapsed="false">
      <c r="A6" s="0" t="s">
        <v>74</v>
      </c>
      <c r="B6" s="0" t="s">
        <v>67</v>
      </c>
      <c r="C6" s="2" t="n">
        <v>25</v>
      </c>
      <c r="D6" s="2" t="n">
        <v>33</v>
      </c>
      <c r="E6" s="3" t="n">
        <f aca="false">D6*Inputs!$B$2/100</f>
        <v>52.8495</v>
      </c>
      <c r="F6" s="3" t="n">
        <f aca="false">E6*Inputs!$B$23+Inputs!$B$25</f>
        <v>90.0728183824</v>
      </c>
      <c r="G6" s="3" t="n">
        <f aca="false">E6*Inputs!$B$23+Inputs!$B$9/C6</f>
        <v>363.0728183824</v>
      </c>
      <c r="H6" s="3" t="s">
        <v>68</v>
      </c>
      <c r="I6" s="3" t="s">
        <v>75</v>
      </c>
    </row>
    <row r="7" customFormat="false" ht="15" hidden="false" customHeight="false" outlineLevel="0" collapsed="false">
      <c r="A7" s="0" t="s">
        <v>76</v>
      </c>
      <c r="B7" s="0" t="s">
        <v>67</v>
      </c>
      <c r="C7" s="2" t="n">
        <v>100</v>
      </c>
      <c r="D7" s="2" t="n">
        <v>19</v>
      </c>
      <c r="E7" s="3" t="n">
        <f aca="false">D7*Inputs!$B$2/100</f>
        <v>30.4285</v>
      </c>
      <c r="F7" s="3" t="n">
        <f aca="false">E7*Inputs!$B$23+Inputs!$B$25</f>
        <v>54.8298045232</v>
      </c>
      <c r="G7" s="3" t="n">
        <f aca="false">E7*Inputs!$B$23+Inputs!$B$9/C7</f>
        <v>117.8298045232</v>
      </c>
      <c r="H7" s="3" t="s">
        <v>68</v>
      </c>
      <c r="I7" s="3" t="s">
        <v>71</v>
      </c>
    </row>
    <row r="8" customFormat="false" ht="15" hidden="false" customHeight="false" outlineLevel="0" collapsed="false">
      <c r="A8" s="0" t="s">
        <v>77</v>
      </c>
      <c r="B8" s="0" t="s">
        <v>67</v>
      </c>
      <c r="C8" s="2" t="n">
        <v>100</v>
      </c>
      <c r="D8" s="2" t="n">
        <v>247</v>
      </c>
      <c r="E8" s="3" t="n">
        <f aca="false">D8*Inputs!$B$2/100</f>
        <v>395.5705</v>
      </c>
      <c r="F8" s="3" t="n">
        <f aca="false">E8*Inputs!$B$23+Inputs!$B$25</f>
        <v>628.7874588016</v>
      </c>
      <c r="G8" s="3" t="n">
        <f aca="false">E8*Inputs!$B$23+Inputs!$B$9/C8</f>
        <v>691.7874588016</v>
      </c>
      <c r="H8" s="3" t="s">
        <v>68</v>
      </c>
      <c r="I8" s="3" t="s">
        <v>71</v>
      </c>
    </row>
    <row r="9" customFormat="false" ht="15" hidden="false" customHeight="false" outlineLevel="0" collapsed="false">
      <c r="A9" s="0" t="s">
        <v>78</v>
      </c>
      <c r="B9" s="0" t="s">
        <v>67</v>
      </c>
      <c r="C9" s="2" t="n">
        <v>100</v>
      </c>
      <c r="D9" s="2" t="n">
        <v>317</v>
      </c>
      <c r="E9" s="3" t="n">
        <f aca="false">D9*Inputs!$B$2/100</f>
        <v>507.6755</v>
      </c>
      <c r="F9" s="3" t="n">
        <f aca="false">E9*Inputs!$B$23+Inputs!$B$25</f>
        <v>805.0025280976</v>
      </c>
      <c r="G9" s="3" t="n">
        <f aca="false">E9*Inputs!$B$23+Inputs!$B$9/C9</f>
        <v>868.0025280976</v>
      </c>
      <c r="H9" s="3" t="s">
        <v>68</v>
      </c>
      <c r="I9" s="3" t="s">
        <v>71</v>
      </c>
    </row>
    <row r="10" customFormat="false" ht="15" hidden="false" customHeight="false" outlineLevel="0" collapsed="false">
      <c r="A10" s="0" t="s">
        <v>79</v>
      </c>
      <c r="B10" s="0" t="s">
        <v>80</v>
      </c>
      <c r="C10" s="2" t="n">
        <v>100</v>
      </c>
      <c r="D10" s="2" t="n">
        <v>85</v>
      </c>
      <c r="E10" s="3" t="n">
        <f aca="false">D10*Inputs!$B$2/100</f>
        <v>136.1275</v>
      </c>
      <c r="F10" s="3" t="n">
        <f aca="false">E10*Inputs!$B$23+Inputs!$B$25</f>
        <v>220.975441288</v>
      </c>
      <c r="G10" s="3" t="n">
        <f aca="false">E10*Inputs!$B$23+Inputs!$B$9/C10</f>
        <v>283.975441288</v>
      </c>
      <c r="H10" s="3" t="s">
        <v>68</v>
      </c>
      <c r="I10" s="3" t="s">
        <v>81</v>
      </c>
    </row>
    <row r="11" customFormat="false" ht="15" hidden="false" customHeight="false" outlineLevel="0" collapsed="false">
      <c r="A11" s="0" t="s">
        <v>82</v>
      </c>
      <c r="B11" s="0" t="s">
        <v>80</v>
      </c>
      <c r="C11" s="2" t="n">
        <v>300</v>
      </c>
      <c r="D11" s="2" t="n">
        <v>55</v>
      </c>
      <c r="E11" s="3" t="n">
        <f aca="false">D11*Inputs!$B$2/100</f>
        <v>88.0825</v>
      </c>
      <c r="F11" s="3" t="n">
        <f aca="false">E11*Inputs!$B$23+Inputs!$B$25</f>
        <v>145.454697304</v>
      </c>
      <c r="G11" s="3" t="n">
        <f aca="false">E11*Inputs!$B$23+Inputs!$B$9/C11</f>
        <v>161.788030637333</v>
      </c>
      <c r="H11" s="3" t="s">
        <v>68</v>
      </c>
      <c r="I11" s="3" t="s">
        <v>71</v>
      </c>
    </row>
    <row r="12" customFormat="false" ht="15" hidden="false" customHeight="false" outlineLevel="0" collapsed="false">
      <c r="A12" s="0" t="s">
        <v>83</v>
      </c>
      <c r="B12" s="0" t="s">
        <v>80</v>
      </c>
      <c r="C12" s="2" t="n">
        <v>500</v>
      </c>
      <c r="D12" s="2" t="n">
        <v>35</v>
      </c>
      <c r="E12" s="3" t="n">
        <f aca="false">D12*Inputs!$B$2/100</f>
        <v>56.0525</v>
      </c>
      <c r="F12" s="3" t="n">
        <f aca="false">E12*Inputs!$B$23+Inputs!$B$25</f>
        <v>95.107534648</v>
      </c>
      <c r="G12" s="3" t="n">
        <f aca="false">E12*Inputs!$B$23+Inputs!$B$9/C12</f>
        <v>102.107534648</v>
      </c>
      <c r="H12" s="3" t="s">
        <v>68</v>
      </c>
      <c r="I12" s="3" t="s">
        <v>71</v>
      </c>
    </row>
    <row r="13" customFormat="false" ht="15" hidden="false" customHeight="false" outlineLevel="0" collapsed="false">
      <c r="A13" s="0" t="s">
        <v>84</v>
      </c>
      <c r="B13" s="0" t="s">
        <v>85</v>
      </c>
      <c r="C13" s="2" t="n">
        <v>500</v>
      </c>
      <c r="D13" s="2" t="n">
        <v>15</v>
      </c>
      <c r="E13" s="3" t="n">
        <f aca="false">D13*Inputs!$B$2/100</f>
        <v>24.0225</v>
      </c>
      <c r="F13" s="3" t="n">
        <f aca="false">E13*Inputs!$B$23+Inputs!$B$25</f>
        <v>44.760371992</v>
      </c>
      <c r="G13" s="3" t="n">
        <f aca="false">E13*Inputs!$B$23+Inputs!$B$9/C13</f>
        <v>51.760371992</v>
      </c>
      <c r="H13" s="3" t="s">
        <v>86</v>
      </c>
      <c r="I13" s="3" t="s">
        <v>87</v>
      </c>
    </row>
    <row r="14" customFormat="false" ht="15" hidden="false" customHeight="false" outlineLevel="0" collapsed="false">
      <c r="A14" s="0" t="s">
        <v>88</v>
      </c>
      <c r="B14" s="0" t="s">
        <v>89</v>
      </c>
      <c r="C14" s="2" t="n">
        <v>500</v>
      </c>
      <c r="D14" s="2" t="n">
        <v>8.5</v>
      </c>
      <c r="E14" s="3" t="n">
        <f aca="false">D14*Inputs!$B$2/100</f>
        <v>13.61275</v>
      </c>
      <c r="F14" s="3" t="n">
        <f aca="false">E14*Inputs!$B$23+Inputs!$B$25</f>
        <v>28.3975441288</v>
      </c>
      <c r="G14" s="3" t="n">
        <f aca="false">E14*Inputs!$B$23+Inputs!$B$9/C14</f>
        <v>35.3975441288</v>
      </c>
      <c r="H14" s="3" t="s">
        <v>86</v>
      </c>
      <c r="I14" s="3" t="s">
        <v>90</v>
      </c>
    </row>
    <row r="15" customFormat="false" ht="15" hidden="false" customHeight="false" outlineLevel="0" collapsed="false">
      <c r="A15" s="0" t="s">
        <v>91</v>
      </c>
      <c r="B15" s="0" t="s">
        <v>92</v>
      </c>
      <c r="C15" s="2" t="n">
        <v>100</v>
      </c>
      <c r="D15" s="2" t="n">
        <v>55</v>
      </c>
      <c r="E15" s="3" t="n">
        <f aca="false">D15*Inputs!$B$2/100</f>
        <v>88.0825</v>
      </c>
      <c r="F15" s="3" t="n">
        <f aca="false">E15*Inputs!$B$23+Inputs!$B$25</f>
        <v>145.454697304</v>
      </c>
      <c r="G15" s="3" t="n">
        <f aca="false">E15*Inputs!$B$23+Inputs!$B$9/C15</f>
        <v>208.454697304</v>
      </c>
      <c r="H15" s="3" t="s">
        <v>86</v>
      </c>
      <c r="I15" s="3" t="s">
        <v>93</v>
      </c>
    </row>
    <row r="16" customFormat="false" ht="15" hidden="false" customHeight="false" outlineLevel="0" collapsed="false">
      <c r="A16" s="0" t="s">
        <v>94</v>
      </c>
      <c r="B16" s="0" t="s">
        <v>95</v>
      </c>
      <c r="C16" s="2" t="n">
        <v>1000</v>
      </c>
      <c r="D16" s="2" t="n">
        <v>5.5</v>
      </c>
      <c r="E16" s="3" t="n">
        <f aca="false">D16*Inputs!$B$2/100</f>
        <v>8.80825</v>
      </c>
      <c r="F16" s="3" t="n">
        <f aca="false">E16*Inputs!$B$23+Inputs!$B$25</f>
        <v>20.8454697304</v>
      </c>
      <c r="G16" s="3" t="n">
        <f aca="false">E16*Inputs!$B$23+Inputs!$B$9/C16</f>
        <v>20.8454697304</v>
      </c>
      <c r="H16" s="3" t="s">
        <v>86</v>
      </c>
      <c r="I16" s="3" t="s">
        <v>96</v>
      </c>
    </row>
    <row r="18" customFormat="false" ht="15" hidden="false" customHeight="false" outlineLevel="0" collapsed="false">
      <c r="A18" s="5" t="s">
        <v>97</v>
      </c>
    </row>
    <row r="19" customFormat="false" ht="15" hidden="false" customHeight="false" outlineLevel="0" collapsed="false">
      <c r="A19" s="5" t="s">
        <v>98</v>
      </c>
    </row>
    <row r="20" customFormat="false" ht="15" hidden="false" customHeight="false" outlineLevel="0" collapsed="false">
      <c r="A20" s="5" t="s">
        <v>99</v>
      </c>
    </row>
    <row r="21" customFormat="false" ht="15" hidden="false" customHeight="false" outlineLevel="0" collapsed="false">
      <c r="A21" s="5" t="s">
        <v>100</v>
      </c>
    </row>
    <row r="22" customFormat="false" ht="15" hidden="false" customHeight="false" outlineLevel="0" collapsed="false">
      <c r="A22" s="5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70"/>
  </cols>
  <sheetData>
    <row r="1" customFormat="false" ht="28.35" hidden="false" customHeight="false" outlineLevel="0" collapsed="false">
      <c r="A1" s="1" t="s">
        <v>102</v>
      </c>
      <c r="B1" s="1" t="s">
        <v>103</v>
      </c>
      <c r="C1" s="1" t="s">
        <v>104</v>
      </c>
      <c r="D1" s="1" t="s">
        <v>105</v>
      </c>
      <c r="E1" s="1" t="s">
        <v>64</v>
      </c>
      <c r="F1" s="1" t="s">
        <v>106</v>
      </c>
    </row>
    <row r="2" customFormat="false" ht="15" hidden="false" customHeight="false" outlineLevel="0" collapsed="false">
      <c r="A2" s="0" t="s">
        <v>107</v>
      </c>
      <c r="B2" s="0" t="s">
        <v>108</v>
      </c>
      <c r="C2" s="2" t="n">
        <v>10</v>
      </c>
      <c r="D2" s="3" t="s">
        <v>109</v>
      </c>
      <c r="E2" s="3" t="s">
        <v>68</v>
      </c>
      <c r="F2" s="3" t="s">
        <v>110</v>
      </c>
    </row>
    <row r="3" customFormat="false" ht="15" hidden="false" customHeight="false" outlineLevel="0" collapsed="false">
      <c r="A3" s="0" t="s">
        <v>111</v>
      </c>
      <c r="B3" s="0" t="s">
        <v>112</v>
      </c>
      <c r="C3" s="2" t="n">
        <v>35</v>
      </c>
      <c r="D3" s="3" t="s">
        <v>109</v>
      </c>
      <c r="E3" s="3" t="s">
        <v>68</v>
      </c>
      <c r="F3" s="3" t="s">
        <v>71</v>
      </c>
    </row>
    <row r="4" customFormat="false" ht="15" hidden="false" customHeight="false" outlineLevel="0" collapsed="false">
      <c r="A4" s="0" t="s">
        <v>113</v>
      </c>
      <c r="B4" s="0" t="s">
        <v>112</v>
      </c>
      <c r="C4" s="2" t="n">
        <v>20</v>
      </c>
      <c r="D4" s="3" t="s">
        <v>109</v>
      </c>
      <c r="E4" s="3" t="s">
        <v>68</v>
      </c>
      <c r="F4" s="3" t="s">
        <v>71</v>
      </c>
    </row>
    <row r="5" customFormat="false" ht="15" hidden="false" customHeight="false" outlineLevel="0" collapsed="false">
      <c r="A5" s="0" t="s">
        <v>114</v>
      </c>
      <c r="B5" s="0" t="s">
        <v>112</v>
      </c>
      <c r="C5" s="2" t="n">
        <v>24.98</v>
      </c>
      <c r="D5" s="3" t="s">
        <v>115</v>
      </c>
      <c r="E5" s="3" t="s">
        <v>68</v>
      </c>
      <c r="F5" s="3" t="s">
        <v>71</v>
      </c>
    </row>
    <row r="6" customFormat="false" ht="15" hidden="false" customHeight="false" outlineLevel="0" collapsed="false">
      <c r="A6" s="0" t="s">
        <v>116</v>
      </c>
      <c r="B6" s="0" t="s">
        <v>117</v>
      </c>
      <c r="C6" s="2" t="n">
        <v>80</v>
      </c>
      <c r="D6" s="3" t="s">
        <v>118</v>
      </c>
      <c r="E6" s="3" t="s">
        <v>86</v>
      </c>
      <c r="F6" s="3" t="s">
        <v>119</v>
      </c>
    </row>
    <row r="7" customFormat="false" ht="15" hidden="false" customHeight="false" outlineLevel="0" collapsed="false">
      <c r="A7" s="0" t="s">
        <v>120</v>
      </c>
      <c r="B7" s="0" t="s">
        <v>121</v>
      </c>
      <c r="C7" s="2" t="n">
        <v>62</v>
      </c>
      <c r="D7" s="3" t="s">
        <v>122</v>
      </c>
      <c r="E7" s="3" t="s">
        <v>26</v>
      </c>
      <c r="F7" s="3" t="s">
        <v>123</v>
      </c>
    </row>
    <row r="8" customFormat="false" ht="15" hidden="false" customHeight="false" outlineLevel="0" collapsed="false">
      <c r="A8" s="0" t="s">
        <v>124</v>
      </c>
      <c r="B8" s="0" t="s">
        <v>121</v>
      </c>
      <c r="C8" s="2" t="n">
        <v>64</v>
      </c>
      <c r="D8" s="3" t="s">
        <v>125</v>
      </c>
      <c r="E8" s="3" t="s">
        <v>26</v>
      </c>
      <c r="F8" s="3" t="s">
        <v>126</v>
      </c>
    </row>
    <row r="9" customFormat="false" ht="15" hidden="false" customHeight="false" outlineLevel="0" collapsed="false">
      <c r="A9" s="0" t="s">
        <v>127</v>
      </c>
      <c r="B9" s="0" t="s">
        <v>121</v>
      </c>
      <c r="C9" s="2" t="n">
        <v>28</v>
      </c>
      <c r="D9" s="3" t="s">
        <v>128</v>
      </c>
      <c r="E9" s="3" t="s">
        <v>26</v>
      </c>
      <c r="F9" s="3" t="s">
        <v>126</v>
      </c>
    </row>
    <row r="10" customFormat="false" ht="15" hidden="false" customHeight="false" outlineLevel="0" collapsed="false">
      <c r="A10" s="0" t="s">
        <v>129</v>
      </c>
      <c r="B10" s="0" t="s">
        <v>121</v>
      </c>
      <c r="C10" s="2" t="n">
        <v>350</v>
      </c>
      <c r="D10" s="3" t="s">
        <v>130</v>
      </c>
      <c r="E10" s="3" t="s">
        <v>26</v>
      </c>
      <c r="F10" s="3" t="s">
        <v>126</v>
      </c>
    </row>
    <row r="11" customFormat="false" ht="15" hidden="false" customHeight="false" outlineLevel="0" collapsed="false">
      <c r="A11" s="0" t="s">
        <v>131</v>
      </c>
      <c r="B11" s="0" t="s">
        <v>121</v>
      </c>
      <c r="C11" s="2" t="n">
        <v>3.8</v>
      </c>
      <c r="D11" s="3" t="s">
        <v>132</v>
      </c>
      <c r="E11" s="3" t="s">
        <v>26</v>
      </c>
      <c r="F11" s="3" t="s">
        <v>126</v>
      </c>
    </row>
    <row r="14" customFormat="false" ht="15" hidden="false" customHeight="false" outlineLevel="0" collapsed="false">
      <c r="A14" s="5" t="s">
        <v>133</v>
      </c>
    </row>
    <row r="15" customFormat="false" ht="15" hidden="false" customHeight="false" outlineLevel="0" collapsed="false">
      <c r="A15" s="5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5" min="3" style="0" width="14"/>
    <col collapsed="false" customWidth="true" hidden="false" outlineLevel="0" max="9" min="6" style="0" width="16"/>
    <col collapsed="false" customWidth="true" hidden="false" outlineLevel="0" max="10" min="10" style="0" width="24"/>
    <col collapsed="false" customWidth="true" hidden="false" outlineLevel="0" max="11" min="11" style="0" width="14"/>
  </cols>
  <sheetData>
    <row r="1" customFormat="false" ht="68.65" hidden="false" customHeight="false" outlineLevel="0" collapsed="false">
      <c r="A1" s="1" t="s">
        <v>135</v>
      </c>
      <c r="B1" s="1" t="s">
        <v>59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</row>
    <row r="2" customFormat="false" ht="15" hidden="false" customHeight="false" outlineLevel="0" collapsed="false">
      <c r="A2" s="0" t="s">
        <v>145</v>
      </c>
      <c r="B2" s="2" t="n">
        <v>100</v>
      </c>
      <c r="C2" s="2" t="n">
        <v>95</v>
      </c>
      <c r="D2" s="2" t="n">
        <v>9000</v>
      </c>
      <c r="E2" s="3" t="n">
        <f aca="false">(C2+D2/B2)*Inputs!$B$24</f>
        <v>199.43</v>
      </c>
      <c r="F2" s="2" t="n">
        <v>33</v>
      </c>
      <c r="G2" s="3" t="n">
        <f aca="false">F2*Inputs!$B$2/100*Inputs!$B$23+Inputs!$B$25</f>
        <v>90.0728183824</v>
      </c>
      <c r="H2" s="3" t="n">
        <f aca="false">F2*Inputs!$B$2/100*Inputs!$B$23+Inputs!$B$9/B2</f>
        <v>153.0728183824</v>
      </c>
      <c r="I2" s="3" t="n">
        <f aca="false">MIN(E2,G2)</f>
        <v>90.0728183824</v>
      </c>
      <c r="J2" s="0" t="str">
        <f aca="false">IF(G2&lt;E2*0.9,"India digital, consolidated",IF(G2&lt;E2,"Marginal - get both quotes","Nepal supplier"))</f>
        <v>India digital, consolidated</v>
      </c>
      <c r="K2" s="3" t="n">
        <f aca="false">(E2-I2)*B2</f>
        <v>10935.71816176</v>
      </c>
    </row>
    <row r="3" customFormat="false" ht="15" hidden="false" customHeight="false" outlineLevel="0" collapsed="false">
      <c r="A3" s="0" t="s">
        <v>145</v>
      </c>
      <c r="B3" s="2" t="n">
        <v>250</v>
      </c>
      <c r="C3" s="2" t="n">
        <v>62</v>
      </c>
      <c r="D3" s="2" t="n">
        <v>9000</v>
      </c>
      <c r="E3" s="3" t="n">
        <f aca="false">(C3+D3/B3)*Inputs!$B$24</f>
        <v>105.644</v>
      </c>
      <c r="F3" s="2" t="n">
        <v>33</v>
      </c>
      <c r="G3" s="3" t="n">
        <f aca="false">F3*Inputs!$B$2/100*Inputs!$B$23+Inputs!$B$25</f>
        <v>90.0728183824</v>
      </c>
      <c r="H3" s="3" t="n">
        <f aca="false">F3*Inputs!$B$2/100*Inputs!$B$23+Inputs!$B$9/B3</f>
        <v>111.0728183824</v>
      </c>
      <c r="I3" s="3" t="n">
        <f aca="false">MIN(E3,G3)</f>
        <v>90.0728183824</v>
      </c>
      <c r="J3" s="0" t="str">
        <f aca="false">IF(G3&lt;E3*0.9,"India digital, consolidated",IF(G3&lt;E3,"Marginal - get both quotes","Nepal supplier"))</f>
        <v>India digital, consolidated</v>
      </c>
      <c r="K3" s="3" t="n">
        <f aca="false">(E3-I3)*B3</f>
        <v>3892.7954044</v>
      </c>
    </row>
    <row r="4" customFormat="false" ht="15" hidden="false" customHeight="false" outlineLevel="0" collapsed="false">
      <c r="A4" s="0" t="s">
        <v>146</v>
      </c>
      <c r="B4" s="2" t="n">
        <v>1000</v>
      </c>
      <c r="C4" s="2" t="n">
        <v>30</v>
      </c>
      <c r="D4" s="2" t="n">
        <v>9000</v>
      </c>
      <c r="E4" s="3" t="n">
        <f aca="false">(C4+D4/B4)*Inputs!$B$24</f>
        <v>42.042</v>
      </c>
      <c r="F4" s="2" t="n">
        <v>33</v>
      </c>
      <c r="G4" s="3" t="n">
        <f aca="false">F4*Inputs!$B$2/100*Inputs!$B$23+Inputs!$B$25</f>
        <v>90.0728183824</v>
      </c>
      <c r="H4" s="3" t="n">
        <f aca="false">F4*Inputs!$B$2/100*Inputs!$B$23+Inputs!$B$9/B4</f>
        <v>90.0728183824</v>
      </c>
      <c r="I4" s="3" t="n">
        <f aca="false">MIN(E4,G4)</f>
        <v>42.042</v>
      </c>
      <c r="J4" s="0" t="str">
        <f aca="false">IF(G4&lt;E4*0.9,"India digital, consolidated",IF(G4&lt;E4,"Marginal - get both quotes","Nepal supplier"))</f>
        <v>Nepal supplier</v>
      </c>
      <c r="K4" s="3" t="n">
        <f aca="false">(E4-I4)*B4</f>
        <v>0</v>
      </c>
    </row>
    <row r="5" customFormat="false" ht="15" hidden="false" customHeight="false" outlineLevel="0" collapsed="false">
      <c r="A5" s="0" t="s">
        <v>147</v>
      </c>
      <c r="B5" s="2" t="n">
        <v>100</v>
      </c>
      <c r="C5" s="2" t="n">
        <v>85</v>
      </c>
      <c r="D5" s="2" t="n">
        <v>4000</v>
      </c>
      <c r="E5" s="3" t="n">
        <f aca="false">(C5+D5/B5)*Inputs!$B$24</f>
        <v>134.75</v>
      </c>
      <c r="F5" s="2" t="n">
        <v>33</v>
      </c>
      <c r="G5" s="3" t="n">
        <f aca="false">F5*Inputs!$B$2/100*Inputs!$B$23+Inputs!$B$25</f>
        <v>90.0728183824</v>
      </c>
      <c r="H5" s="3" t="n">
        <f aca="false">F5*Inputs!$B$2/100*Inputs!$B$23+Inputs!$B$9/B5</f>
        <v>153.0728183824</v>
      </c>
      <c r="I5" s="3" t="n">
        <f aca="false">MIN(E5,G5)</f>
        <v>90.0728183824</v>
      </c>
      <c r="J5" s="0" t="str">
        <f aca="false">IF(G5&lt;E5*0.9,"India digital, consolidated",IF(G5&lt;E5,"Marginal - get both quotes","Nepal supplier"))</f>
        <v>India digital, consolidated</v>
      </c>
      <c r="K5" s="3" t="n">
        <f aca="false">(E5-I5)*B5</f>
        <v>4467.71816176</v>
      </c>
    </row>
    <row r="6" customFormat="false" ht="15" hidden="false" customHeight="false" outlineLevel="0" collapsed="false">
      <c r="A6" s="0" t="s">
        <v>148</v>
      </c>
      <c r="B6" s="2" t="n">
        <v>250</v>
      </c>
      <c r="C6" s="2" t="n">
        <v>64</v>
      </c>
      <c r="D6" s="2" t="n">
        <v>4000</v>
      </c>
      <c r="E6" s="3" t="n">
        <f aca="false">(C6+D6/B6)*Inputs!$B$24</f>
        <v>86.24</v>
      </c>
      <c r="F6" s="2" t="n">
        <v>33</v>
      </c>
      <c r="G6" s="3" t="n">
        <f aca="false">F6*Inputs!$B$2/100*Inputs!$B$23+Inputs!$B$25</f>
        <v>90.0728183824</v>
      </c>
      <c r="H6" s="3" t="n">
        <f aca="false">F6*Inputs!$B$2/100*Inputs!$B$23+Inputs!$B$9/B6</f>
        <v>111.0728183824</v>
      </c>
      <c r="I6" s="3" t="n">
        <f aca="false">MIN(E6,G6)</f>
        <v>86.24</v>
      </c>
      <c r="J6" s="0" t="str">
        <f aca="false">IF(G6&lt;E6*0.9,"India digital, consolidated",IF(G6&lt;E6,"Marginal - get both quotes","Nepal supplier"))</f>
        <v>Nepal supplier</v>
      </c>
      <c r="K6" s="3" t="n">
        <f aca="false">(E6-I6)*B6</f>
        <v>0</v>
      </c>
    </row>
    <row r="7" customFormat="false" ht="15" hidden="false" customHeight="false" outlineLevel="0" collapsed="false">
      <c r="A7" s="0" t="s">
        <v>149</v>
      </c>
      <c r="B7" s="2" t="n">
        <v>1000</v>
      </c>
      <c r="C7" s="2" t="n">
        <v>40</v>
      </c>
      <c r="D7" s="2" t="n">
        <v>4000</v>
      </c>
      <c r="E7" s="3" t="n">
        <f aca="false">(C7+D7/B7)*Inputs!$B$24</f>
        <v>47.432</v>
      </c>
      <c r="F7" s="2" t="n">
        <v>33</v>
      </c>
      <c r="G7" s="3" t="n">
        <f aca="false">F7*Inputs!$B$2/100*Inputs!$B$23+Inputs!$B$25</f>
        <v>90.0728183824</v>
      </c>
      <c r="H7" s="3" t="n">
        <f aca="false">F7*Inputs!$B$2/100*Inputs!$B$23+Inputs!$B$9/B7</f>
        <v>90.0728183824</v>
      </c>
      <c r="I7" s="3" t="n">
        <f aca="false">MIN(E7,G7)</f>
        <v>47.432</v>
      </c>
      <c r="J7" s="0" t="str">
        <f aca="false">IF(G7&lt;E7*0.9,"India digital, consolidated",IF(G7&lt;E7,"Marginal - get both quotes","Nepal supplier"))</f>
        <v>Nepal supplier</v>
      </c>
      <c r="K7" s="3" t="n">
        <f aca="false">(E7-I7)*B7</f>
        <v>0</v>
      </c>
    </row>
    <row r="8" customFormat="false" ht="15" hidden="false" customHeight="false" outlineLevel="0" collapsed="false">
      <c r="A8" s="0" t="s">
        <v>150</v>
      </c>
      <c r="B8" s="2" t="n">
        <v>500</v>
      </c>
      <c r="C8" s="2" t="n">
        <v>28</v>
      </c>
      <c r="D8" s="2" t="n">
        <v>2500</v>
      </c>
      <c r="E8" s="3" t="n">
        <f aca="false">(C8+D8/B8)*Inputs!$B$24</f>
        <v>35.574</v>
      </c>
      <c r="F8" s="2" t="n">
        <v>15</v>
      </c>
      <c r="G8" s="3" t="n">
        <f aca="false">F8*Inputs!$B$2/100*Inputs!$B$23+Inputs!$B$25</f>
        <v>44.760371992</v>
      </c>
      <c r="H8" s="3" t="n">
        <f aca="false">F8*Inputs!$B$2/100*Inputs!$B$23+Inputs!$B$9/B8</f>
        <v>51.760371992</v>
      </c>
      <c r="I8" s="3" t="n">
        <f aca="false">MIN(E8,G8)</f>
        <v>35.574</v>
      </c>
      <c r="J8" s="0" t="str">
        <f aca="false">IF(G8&lt;E8*0.9,"India digital, consolidated",IF(G8&lt;E8,"Marginal - get both quotes","Nepal supplier"))</f>
        <v>Nepal supplier</v>
      </c>
      <c r="K8" s="3" t="n">
        <f aca="false">(E8-I8)*B8</f>
        <v>0</v>
      </c>
    </row>
    <row r="9" customFormat="false" ht="15" hidden="false" customHeight="false" outlineLevel="0" collapsed="false">
      <c r="A9" s="0" t="s">
        <v>150</v>
      </c>
      <c r="B9" s="2" t="n">
        <v>1000</v>
      </c>
      <c r="C9" s="2" t="n">
        <v>23</v>
      </c>
      <c r="D9" s="2" t="n">
        <v>2500</v>
      </c>
      <c r="E9" s="3" t="n">
        <f aca="false">(C9+D9/B9)*Inputs!$B$24</f>
        <v>27.489</v>
      </c>
      <c r="F9" s="2" t="n">
        <v>15</v>
      </c>
      <c r="G9" s="3" t="n">
        <f aca="false">F9*Inputs!$B$2/100*Inputs!$B$23+Inputs!$B$25</f>
        <v>44.760371992</v>
      </c>
      <c r="H9" s="3" t="n">
        <f aca="false">F9*Inputs!$B$2/100*Inputs!$B$23+Inputs!$B$9/B9</f>
        <v>44.760371992</v>
      </c>
      <c r="I9" s="3" t="n">
        <f aca="false">MIN(E9,G9)</f>
        <v>27.489</v>
      </c>
      <c r="J9" s="0" t="str">
        <f aca="false">IF(G9&lt;E9*0.9,"India digital, consolidated",IF(G9&lt;E9,"Marginal - get both quotes","Nepal supplier"))</f>
        <v>Nepal supplier</v>
      </c>
      <c r="K9" s="3" t="n">
        <f aca="false">(E9-I9)*B9</f>
        <v>0</v>
      </c>
    </row>
    <row r="10" customFormat="false" ht="15" hidden="false" customHeight="false" outlineLevel="0" collapsed="false">
      <c r="A10" s="0" t="s">
        <v>151</v>
      </c>
      <c r="B10" s="2" t="n">
        <v>100</v>
      </c>
      <c r="C10" s="2" t="n">
        <v>350</v>
      </c>
      <c r="D10" s="2" t="n">
        <v>7000</v>
      </c>
      <c r="E10" s="3" t="n">
        <f aca="false">(C10+D10/B10)*Inputs!$B$24</f>
        <v>452.76</v>
      </c>
      <c r="F10" s="2" t="n">
        <v>247</v>
      </c>
      <c r="G10" s="3" t="n">
        <f aca="false">F10*Inputs!$B$2/100*Inputs!$B$23+Inputs!$B$25</f>
        <v>628.7874588016</v>
      </c>
      <c r="H10" s="3" t="n">
        <f aca="false">F10*Inputs!$B$2/100*Inputs!$B$23+Inputs!$B$9/B10</f>
        <v>691.7874588016</v>
      </c>
      <c r="I10" s="3" t="n">
        <f aca="false">MIN(E10,G10)</f>
        <v>452.76</v>
      </c>
      <c r="J10" s="0" t="str">
        <f aca="false">IF(G10&lt;E10*0.9,"India digital, consolidated",IF(G10&lt;E10,"Marginal - get both quotes","Nepal supplier"))</f>
        <v>Nepal supplier</v>
      </c>
      <c r="K10" s="3" t="n">
        <f aca="false">(E10-I10)*B10</f>
        <v>0</v>
      </c>
    </row>
    <row r="11" customFormat="false" ht="15" hidden="false" customHeight="false" outlineLevel="0" collapsed="false">
      <c r="A11" s="0" t="s">
        <v>151</v>
      </c>
      <c r="B11" s="2" t="n">
        <v>250</v>
      </c>
      <c r="C11" s="2" t="n">
        <v>290</v>
      </c>
      <c r="D11" s="2" t="n">
        <v>7000</v>
      </c>
      <c r="E11" s="3" t="n">
        <f aca="false">(C11+D11/B11)*Inputs!$B$24</f>
        <v>342.804</v>
      </c>
      <c r="F11" s="2" t="n">
        <v>247</v>
      </c>
      <c r="G11" s="3" t="n">
        <f aca="false">F11*Inputs!$B$2/100*Inputs!$B$23+Inputs!$B$25</f>
        <v>628.7874588016</v>
      </c>
      <c r="H11" s="3" t="n">
        <f aca="false">F11*Inputs!$B$2/100*Inputs!$B$23+Inputs!$B$9/B11</f>
        <v>649.7874588016</v>
      </c>
      <c r="I11" s="3" t="n">
        <f aca="false">MIN(E11,G11)</f>
        <v>342.804</v>
      </c>
      <c r="J11" s="0" t="str">
        <f aca="false">IF(G11&lt;E11*0.9,"India digital, consolidated",IF(G11&lt;E11,"Marginal - get both quotes","Nepal supplier"))</f>
        <v>Nepal supplier</v>
      </c>
      <c r="K11" s="3" t="n">
        <f aca="false">(E11-I11)*B11</f>
        <v>0</v>
      </c>
    </row>
    <row r="12" customFormat="false" ht="15" hidden="false" customHeight="false" outlineLevel="0" collapsed="false">
      <c r="A12" s="0" t="s">
        <v>152</v>
      </c>
      <c r="B12" s="2" t="n">
        <v>1000</v>
      </c>
      <c r="C12" s="2" t="n">
        <v>3.8</v>
      </c>
      <c r="D12" s="2" t="n">
        <v>500</v>
      </c>
      <c r="E12" s="3" t="n">
        <f aca="false">(C12+D12/B12)*Inputs!$B$24</f>
        <v>4.6354</v>
      </c>
      <c r="F12" s="2" t="n">
        <v>5.5</v>
      </c>
      <c r="G12" s="3" t="n">
        <f aca="false">F12*Inputs!$B$2/100*Inputs!$B$23+Inputs!$B$25</f>
        <v>20.8454697304</v>
      </c>
      <c r="H12" s="3" t="n">
        <f aca="false">F12*Inputs!$B$2/100*Inputs!$B$23+Inputs!$B$9/B12</f>
        <v>20.8454697304</v>
      </c>
      <c r="I12" s="3" t="n">
        <f aca="false">MIN(E12,G12)</f>
        <v>4.6354</v>
      </c>
      <c r="J12" s="0" t="str">
        <f aca="false">IF(G12&lt;E12*0.9,"India digital, consolidated",IF(G12&lt;E12,"Marginal - get both quotes","Nepal supplier"))</f>
        <v>Nepal supplier</v>
      </c>
      <c r="K12" s="3" t="n">
        <f aca="false">(E12-I12)*B12</f>
        <v>0</v>
      </c>
    </row>
    <row r="13" customFormat="false" ht="15" hidden="false" customHeight="false" outlineLevel="0" collapsed="false">
      <c r="A13" s="0" t="s">
        <v>152</v>
      </c>
      <c r="B13" s="2" t="n">
        <v>5000</v>
      </c>
      <c r="C13" s="2" t="n">
        <v>2.4</v>
      </c>
      <c r="D13" s="2" t="n">
        <v>500</v>
      </c>
      <c r="E13" s="3" t="n">
        <f aca="false">(C13+D13/B13)*Inputs!$B$24</f>
        <v>2.695</v>
      </c>
      <c r="F13" s="2" t="n">
        <v>5.5</v>
      </c>
      <c r="G13" s="3" t="n">
        <f aca="false">F13*Inputs!$B$2/100*Inputs!$B$23+Inputs!$B$25</f>
        <v>20.8454697304</v>
      </c>
      <c r="H13" s="3" t="n">
        <f aca="false">F13*Inputs!$B$2/100*Inputs!$B$23+Inputs!$B$9/B13</f>
        <v>15.2454697304</v>
      </c>
      <c r="I13" s="3" t="n">
        <f aca="false">MIN(E13,G13)</f>
        <v>2.695</v>
      </c>
      <c r="J13" s="0" t="str">
        <f aca="false">IF(G13&lt;E13*0.9,"India digital, consolidated",IF(G13&lt;E13,"Marginal - get both quotes","Nepal supplier"))</f>
        <v>Nepal supplier</v>
      </c>
      <c r="K13" s="3" t="n">
        <f aca="false">(E13-I13)*B13</f>
        <v>0</v>
      </c>
    </row>
    <row r="15" customFormat="false" ht="15" hidden="false" customHeight="false" outlineLevel="0" collapsed="false">
      <c r="A15" s="6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6"/>
  </cols>
  <sheetData>
    <row r="1" customFormat="false" ht="28.35" hidden="false" customHeight="false" outlineLevel="0" collapsed="false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</row>
    <row r="2" customFormat="false" ht="82.05" hidden="false" customHeight="false" outlineLevel="0" collapsed="false">
      <c r="A2" s="0" t="s">
        <v>160</v>
      </c>
      <c r="B2" s="7" t="s">
        <v>161</v>
      </c>
      <c r="C2" s="7" t="s">
        <v>162</v>
      </c>
      <c r="D2" s="7" t="s">
        <v>163</v>
      </c>
      <c r="E2" s="7" t="s">
        <v>164</v>
      </c>
      <c r="F2" s="7" t="s">
        <v>165</v>
      </c>
    </row>
    <row r="3" customFormat="false" ht="15" hidden="false" customHeight="false" outlineLevel="0" collapsed="false">
      <c r="A3" s="0" t="s">
        <v>166</v>
      </c>
      <c r="B3" s="2" t="n">
        <v>100</v>
      </c>
      <c r="C3" s="2" t="n">
        <v>200</v>
      </c>
      <c r="D3" s="2" t="n">
        <v>1000</v>
      </c>
      <c r="E3" s="2" t="n">
        <v>1</v>
      </c>
      <c r="F3" s="2" t="n">
        <v>300</v>
      </c>
    </row>
    <row r="4" customFormat="false" ht="15" hidden="false" customHeight="false" outlineLevel="0" collapsed="false">
      <c r="A4" s="0" t="s">
        <v>167</v>
      </c>
      <c r="B4" s="2" t="n">
        <v>80</v>
      </c>
      <c r="C4" s="2" t="n">
        <v>140</v>
      </c>
      <c r="D4" s="2" t="n">
        <v>52</v>
      </c>
      <c r="E4" s="2" t="n">
        <v>8000</v>
      </c>
      <c r="F4" s="2" t="n">
        <v>70</v>
      </c>
    </row>
    <row r="5" customFormat="false" ht="15" hidden="false" customHeight="false" outlineLevel="0" collapsed="false">
      <c r="A5" s="0" t="s">
        <v>168</v>
      </c>
      <c r="B5" s="2" t="n">
        <v>1500</v>
      </c>
      <c r="C5" s="2" t="n">
        <v>2000</v>
      </c>
      <c r="D5" s="2" t="n">
        <v>4600</v>
      </c>
      <c r="E5" s="2" t="n">
        <v>0</v>
      </c>
      <c r="F5" s="2" t="n">
        <v>0</v>
      </c>
    </row>
    <row r="6" customFormat="false" ht="15" hidden="false" customHeight="false" outlineLevel="0" collapsed="false">
      <c r="A6" s="0" t="s">
        <v>169</v>
      </c>
      <c r="B6" s="2" t="n">
        <v>35</v>
      </c>
      <c r="C6" s="3" t="n">
        <f aca="false">Sourcing_Decision!G3</f>
        <v>90.0728183824</v>
      </c>
      <c r="D6" s="2" t="n">
        <v>40</v>
      </c>
      <c r="E6" s="2" t="n">
        <v>0</v>
      </c>
      <c r="F6" s="2" t="n">
        <v>40</v>
      </c>
    </row>
    <row r="7" customFormat="false" ht="15" hidden="false" customHeight="false" outlineLevel="0" collapsed="false">
      <c r="A7" s="0" t="s">
        <v>170</v>
      </c>
      <c r="B7" s="2" t="n">
        <v>10</v>
      </c>
      <c r="C7" s="2" t="n">
        <v>0</v>
      </c>
      <c r="D7" s="2" t="n">
        <v>0</v>
      </c>
      <c r="E7" s="2" t="n">
        <v>0</v>
      </c>
      <c r="F7" s="2" t="n">
        <v>4</v>
      </c>
    </row>
    <row r="8" customFormat="false" ht="15" hidden="false" customHeight="false" outlineLevel="0" collapsed="false">
      <c r="A8" s="0" t="s">
        <v>171</v>
      </c>
      <c r="B8" s="2" t="n">
        <v>0</v>
      </c>
      <c r="C8" s="2" t="n">
        <v>0</v>
      </c>
      <c r="D8" s="2" t="n">
        <v>4000</v>
      </c>
      <c r="E8" s="2" t="n">
        <v>0</v>
      </c>
      <c r="F8" s="2" t="n">
        <v>0</v>
      </c>
    </row>
    <row r="9" customFormat="false" ht="15" hidden="false" customHeight="false" outlineLevel="0" collapsed="false">
      <c r="A9" s="0" t="s">
        <v>172</v>
      </c>
      <c r="B9" s="2" t="n">
        <v>300</v>
      </c>
      <c r="C9" s="2" t="n">
        <v>500</v>
      </c>
      <c r="D9" s="2" t="n">
        <v>500</v>
      </c>
      <c r="E9" s="2" t="n">
        <v>1200</v>
      </c>
      <c r="F9" s="2" t="n">
        <v>0</v>
      </c>
    </row>
    <row r="10" customFormat="false" ht="15" hidden="false" customHeight="false" outlineLevel="0" collapsed="false">
      <c r="A10" s="0" t="s">
        <v>173</v>
      </c>
      <c r="B10" s="0" t="n">
        <f aca="false">B3*B4+B5</f>
        <v>9500</v>
      </c>
      <c r="C10" s="0" t="n">
        <f aca="false">C3*C4+C5</f>
        <v>30000</v>
      </c>
      <c r="D10" s="0" t="n">
        <f aca="false">D3*D4+D5</f>
        <v>56600</v>
      </c>
      <c r="E10" s="0" t="n">
        <f aca="false">E3*E4+E5</f>
        <v>8000</v>
      </c>
      <c r="F10" s="0" t="n">
        <f aca="false">F3*F4+F5</f>
        <v>21000</v>
      </c>
    </row>
    <row r="11" customFormat="false" ht="15" hidden="false" customHeight="false" outlineLevel="0" collapsed="false">
      <c r="A11" s="0" t="s">
        <v>174</v>
      </c>
      <c r="B11" s="0" t="n">
        <f aca="false">(B3*(B6+B7)*1.03+B8)*Inputs!$B$24+B9</f>
        <v>5296.53</v>
      </c>
      <c r="C11" s="0" t="n">
        <f aca="false">(C3*(C6+C7)*1.03+C8)+C9</f>
        <v>19055.0005867744</v>
      </c>
      <c r="D11" s="0" t="n">
        <f aca="false">(D3*(D6+D7)*1.03+D8)*Inputs!$B$24+D9</f>
        <v>49225.6</v>
      </c>
      <c r="E11" s="0" t="n">
        <f aca="false">(E3*(E6+E7)*1.03+E8)+E9</f>
        <v>1200</v>
      </c>
      <c r="F11" s="0" t="n">
        <f aca="false">(F3*(F6+F7)*1.03+F8)*Inputs!$B$24+F9</f>
        <v>14656.488</v>
      </c>
    </row>
    <row r="12" customFormat="false" ht="15" hidden="false" customHeight="false" outlineLevel="0" collapsed="false">
      <c r="A12" s="0" t="s">
        <v>175</v>
      </c>
      <c r="B12" s="0" t="n">
        <f aca="false">(B10-B11)/B10</f>
        <v>0.442470526315789</v>
      </c>
      <c r="C12" s="0" t="n">
        <f aca="false">(C10-C11)/C10</f>
        <v>0.364833313774187</v>
      </c>
      <c r="D12" s="0" t="n">
        <f aca="false">(D10-D11)/D10</f>
        <v>0.130289752650177</v>
      </c>
      <c r="E12" s="0" t="n">
        <f aca="false">(E10-E11)/E10</f>
        <v>0.85</v>
      </c>
      <c r="F12" s="0" t="n">
        <f aca="false">(F10-F11)/F10</f>
        <v>0.302072</v>
      </c>
    </row>
    <row r="13" customFormat="false" ht="15" hidden="false" customHeight="false" outlineLevel="0" collapsed="false">
      <c r="A13" s="0" t="s">
        <v>176</v>
      </c>
      <c r="B13" s="0" t="n">
        <f aca="false">Inputs!$B$12+B10*(Inputs!$B$13+Inputs!$B$14)</f>
        <v>412.5</v>
      </c>
      <c r="C13" s="0" t="n">
        <f aca="false">Inputs!$B$12+C10*(Inputs!$B$13+Inputs!$B$14)</f>
        <v>1130</v>
      </c>
      <c r="D13" s="0" t="n">
        <f aca="false">Inputs!$B$12+D10*(Inputs!$B$13+Inputs!$B$14)</f>
        <v>2061</v>
      </c>
      <c r="E13" s="0" t="n">
        <f aca="false">Inputs!$B$12+E10*(Inputs!$B$13+Inputs!$B$14)</f>
        <v>360</v>
      </c>
      <c r="F13" s="0" t="n">
        <f aca="false">Inputs!$B$12+F10*(Inputs!$B$13+Inputs!$B$14)</f>
        <v>815</v>
      </c>
    </row>
    <row r="14" customFormat="false" ht="15" hidden="false" customHeight="false" outlineLevel="0" collapsed="false">
      <c r="A14" s="0" t="s">
        <v>177</v>
      </c>
      <c r="B14" s="0" t="n">
        <f aca="false">B10-B11-B13</f>
        <v>3790.97</v>
      </c>
      <c r="C14" s="0" t="n">
        <f aca="false">C10-C11-C13</f>
        <v>9814.9994132256</v>
      </c>
      <c r="D14" s="0" t="n">
        <f aca="false">D10-D11-D13</f>
        <v>5313.39999999999</v>
      </c>
      <c r="E14" s="0" t="n">
        <f aca="false">E10-E11-E13</f>
        <v>6440</v>
      </c>
      <c r="F14" s="0" t="n">
        <f aca="false">F10-F11-F13</f>
        <v>5528.512</v>
      </c>
    </row>
    <row r="15" customFormat="false" ht="15" hidden="false" customHeight="false" outlineLevel="0" collapsed="false">
      <c r="A15" s="0" t="s">
        <v>178</v>
      </c>
      <c r="B15" s="0" t="n">
        <f aca="false">B14/B10</f>
        <v>0.39904947368421</v>
      </c>
      <c r="C15" s="0" t="n">
        <f aca="false">C14/C10</f>
        <v>0.32716664710752</v>
      </c>
      <c r="D15" s="0" t="n">
        <f aca="false">D14/D10</f>
        <v>0.0938763250883391</v>
      </c>
      <c r="E15" s="0" t="n">
        <f aca="false">E14/E10</f>
        <v>0.805</v>
      </c>
      <c r="F15" s="0" t="n">
        <f aca="false">F14/F10</f>
        <v>0.263262476190476</v>
      </c>
    </row>
    <row r="16" customFormat="false" ht="15" hidden="false" customHeight="false" outlineLevel="0" collapsed="false">
      <c r="A16" s="0" t="s">
        <v>179</v>
      </c>
      <c r="B16" s="2" t="n">
        <v>0.25</v>
      </c>
      <c r="C16" s="2" t="n">
        <v>0.15</v>
      </c>
      <c r="D16" s="2" t="n">
        <v>0.12</v>
      </c>
      <c r="E16" s="2" t="n">
        <v>0.03</v>
      </c>
      <c r="F16" s="2" t="n">
        <v>0.92</v>
      </c>
    </row>
    <row r="17" customFormat="false" ht="15" hidden="false" customHeight="false" outlineLevel="0" collapsed="false">
      <c r="A17" s="0" t="s">
        <v>180</v>
      </c>
      <c r="B17" s="2" t="n">
        <v>1</v>
      </c>
      <c r="C17" s="2" t="n">
        <v>0.5</v>
      </c>
      <c r="D17" s="2" t="n">
        <v>0.5</v>
      </c>
      <c r="E17" s="2" t="n">
        <v>1</v>
      </c>
      <c r="F17" s="2" t="n">
        <v>1</v>
      </c>
    </row>
    <row r="19" customFormat="false" ht="15" hidden="false" customHeight="false" outlineLevel="0" collapsed="false">
      <c r="A19" s="6" t="s">
        <v>181</v>
      </c>
    </row>
    <row r="20" customFormat="false" ht="15" hidden="false" customHeight="false" outlineLevel="0" collapsed="false">
      <c r="A20" s="6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1" t="s">
        <v>11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</row>
    <row r="2" customFormat="false" ht="15" hidden="false" customHeight="false" outlineLevel="0" collapsed="false">
      <c r="A2" s="4" t="s">
        <v>155</v>
      </c>
    </row>
    <row r="3" customFormat="false" ht="15" hidden="false" customHeight="false" outlineLevel="0" collapsed="false">
      <c r="A3" s="0" t="s">
        <v>196</v>
      </c>
      <c r="B3" s="0" t="n">
        <f aca="false">B4*Inputs!$B$20</f>
        <v>0</v>
      </c>
      <c r="C3" s="0" t="n">
        <f aca="false">C4*Inputs!$B$20</f>
        <v>1.5</v>
      </c>
      <c r="D3" s="0" t="n">
        <f aca="false">D4*Inputs!$B$20</f>
        <v>2.25</v>
      </c>
      <c r="E3" s="0" t="n">
        <f aca="false">E4*Inputs!$B$20</f>
        <v>3</v>
      </c>
      <c r="F3" s="0" t="n">
        <f aca="false">F4*Inputs!$B$20</f>
        <v>3</v>
      </c>
      <c r="G3" s="0" t="n">
        <f aca="false">G4*Inputs!$B$20</f>
        <v>3.75</v>
      </c>
      <c r="H3" s="0" t="n">
        <f aca="false">H4*Inputs!$B$20</f>
        <v>3.75</v>
      </c>
      <c r="I3" s="0" t="n">
        <f aca="false">I4*Inputs!$B$20</f>
        <v>4.5</v>
      </c>
      <c r="J3" s="0" t="n">
        <f aca="false">J4*Inputs!$B$20</f>
        <v>4.5</v>
      </c>
      <c r="K3" s="0" t="n">
        <f aca="false">K4*Inputs!$B$20</f>
        <v>4.5</v>
      </c>
      <c r="L3" s="0" t="n">
        <f aca="false">L4*Inputs!$B$20</f>
        <v>5.25</v>
      </c>
      <c r="M3" s="0" t="n">
        <f aca="false">M4*Inputs!$B$20</f>
        <v>5.25</v>
      </c>
      <c r="N3" s="0" t="n">
        <f aca="false">SUM(B3:M3)</f>
        <v>41.25</v>
      </c>
    </row>
    <row r="4" customFormat="false" ht="15" hidden="false" customHeight="false" outlineLevel="0" collapsed="false">
      <c r="A4" s="0" t="s">
        <v>197</v>
      </c>
      <c r="B4" s="2" t="n">
        <v>0</v>
      </c>
      <c r="C4" s="2" t="n">
        <v>2</v>
      </c>
      <c r="D4" s="2" t="n">
        <v>3</v>
      </c>
      <c r="E4" s="2" t="n">
        <v>4</v>
      </c>
      <c r="F4" s="2" t="n">
        <v>4</v>
      </c>
      <c r="G4" s="2" t="n">
        <v>5</v>
      </c>
      <c r="H4" s="2" t="n">
        <v>5</v>
      </c>
      <c r="I4" s="2" t="n">
        <v>6</v>
      </c>
      <c r="J4" s="2" t="n">
        <v>6</v>
      </c>
      <c r="K4" s="2" t="n">
        <v>6</v>
      </c>
      <c r="L4" s="2" t="n">
        <v>7</v>
      </c>
      <c r="M4" s="2" t="n">
        <v>7</v>
      </c>
    </row>
    <row r="5" customFormat="false" ht="15" hidden="false" customHeight="false" outlineLevel="0" collapsed="false">
      <c r="A5" s="0" t="s">
        <v>198</v>
      </c>
      <c r="B5" s="0" t="n">
        <v>0</v>
      </c>
      <c r="C5" s="0" t="n">
        <f aca="false">SUM($B3:B3)</f>
        <v>0</v>
      </c>
      <c r="D5" s="0" t="n">
        <f aca="false">SUM($B3:C3)</f>
        <v>1.5</v>
      </c>
      <c r="E5" s="0" t="n">
        <f aca="false">SUM($B3:D3)</f>
        <v>3.75</v>
      </c>
      <c r="F5" s="0" t="n">
        <f aca="false">SUM($B3:E3)</f>
        <v>6.75</v>
      </c>
      <c r="G5" s="0" t="n">
        <f aca="false">SUM($B3:F3)</f>
        <v>9.75</v>
      </c>
      <c r="H5" s="0" t="n">
        <f aca="false">SUM($B3:G3)</f>
        <v>13.5</v>
      </c>
      <c r="I5" s="0" t="n">
        <f aca="false">SUM($B3:H3)</f>
        <v>17.25</v>
      </c>
      <c r="J5" s="0" t="n">
        <f aca="false">SUM($B3:I3)</f>
        <v>21.75</v>
      </c>
      <c r="K5" s="0" t="n">
        <f aca="false">SUM($B3:J3)</f>
        <v>26.25</v>
      </c>
      <c r="L5" s="0" t="n">
        <f aca="false">SUM($B3:K3)</f>
        <v>30.75</v>
      </c>
      <c r="M5" s="0" t="n">
        <f aca="false">SUM($B3:L3)</f>
        <v>36</v>
      </c>
    </row>
    <row r="6" customFormat="false" ht="15" hidden="false" customHeight="false" outlineLevel="0" collapsed="false">
      <c r="A6" s="0" t="s">
        <v>199</v>
      </c>
      <c r="B6" s="0" t="n">
        <f aca="false">B3+B5*Offer_Ladder!$B$16</f>
        <v>0</v>
      </c>
      <c r="C6" s="0" t="n">
        <f aca="false">C3+C5*Offer_Ladder!$B$16</f>
        <v>1.5</v>
      </c>
      <c r="D6" s="0" t="n">
        <f aca="false">D3+D5*Offer_Ladder!$B$16</f>
        <v>2.625</v>
      </c>
      <c r="E6" s="0" t="n">
        <f aca="false">E3+E5*Offer_Ladder!$B$16</f>
        <v>3.9375</v>
      </c>
      <c r="F6" s="0" t="n">
        <f aca="false">F3+F5*Offer_Ladder!$B$16</f>
        <v>4.6875</v>
      </c>
      <c r="G6" s="0" t="n">
        <f aca="false">G3+G5*Offer_Ladder!$B$16</f>
        <v>6.1875</v>
      </c>
      <c r="H6" s="0" t="n">
        <f aca="false">H3+H5*Offer_Ladder!$B$16</f>
        <v>7.125</v>
      </c>
      <c r="I6" s="0" t="n">
        <f aca="false">I3+I5*Offer_Ladder!$B$16</f>
        <v>8.8125</v>
      </c>
      <c r="J6" s="0" t="n">
        <f aca="false">J3+J5*Offer_Ladder!$B$16</f>
        <v>9.9375</v>
      </c>
      <c r="K6" s="0" t="n">
        <f aca="false">K3+K5*Offer_Ladder!$B$16</f>
        <v>11.0625</v>
      </c>
      <c r="L6" s="0" t="n">
        <f aca="false">L3+L5*Offer_Ladder!$B$16</f>
        <v>12.9375</v>
      </c>
      <c r="M6" s="0" t="n">
        <f aca="false">M3+M5*Offer_Ladder!$B$16</f>
        <v>14.25</v>
      </c>
      <c r="N6" s="0" t="n">
        <f aca="false">SUM(B6:M6)</f>
        <v>83.0625</v>
      </c>
    </row>
    <row r="7" customFormat="false" ht="15" hidden="false" customHeight="false" outlineLevel="0" collapsed="false">
      <c r="A7" s="0" t="s">
        <v>200</v>
      </c>
      <c r="B7" s="0" t="n">
        <f aca="false">B6*Offer_Ladder!$B$10</f>
        <v>0</v>
      </c>
      <c r="C7" s="0" t="n">
        <f aca="false">C6*Offer_Ladder!$B$10</f>
        <v>14250</v>
      </c>
      <c r="D7" s="0" t="n">
        <f aca="false">D6*Offer_Ladder!$B$10</f>
        <v>24937.5</v>
      </c>
      <c r="E7" s="0" t="n">
        <f aca="false">E6*Offer_Ladder!$B$10</f>
        <v>37406.25</v>
      </c>
      <c r="F7" s="0" t="n">
        <f aca="false">F6*Offer_Ladder!$B$10</f>
        <v>44531.25</v>
      </c>
      <c r="G7" s="0" t="n">
        <f aca="false">G6*Offer_Ladder!$B$10</f>
        <v>58781.25</v>
      </c>
      <c r="H7" s="0" t="n">
        <f aca="false">H6*Offer_Ladder!$B$10</f>
        <v>67687.5</v>
      </c>
      <c r="I7" s="0" t="n">
        <f aca="false">I6*Offer_Ladder!$B$10</f>
        <v>83718.75</v>
      </c>
      <c r="J7" s="0" t="n">
        <f aca="false">J6*Offer_Ladder!$B$10</f>
        <v>94406.25</v>
      </c>
      <c r="K7" s="0" t="n">
        <f aca="false">K6*Offer_Ladder!$B$10</f>
        <v>105093.75</v>
      </c>
      <c r="L7" s="0" t="n">
        <f aca="false">L6*Offer_Ladder!$B$10</f>
        <v>122906.25</v>
      </c>
      <c r="M7" s="0" t="n">
        <f aca="false">M6*Offer_Ladder!$B$10</f>
        <v>135375</v>
      </c>
      <c r="N7" s="0" t="n">
        <f aca="false">SUM(B7:M7)</f>
        <v>789093.75</v>
      </c>
    </row>
    <row r="8" customFormat="false" ht="15" hidden="false" customHeight="false" outlineLevel="0" collapsed="false">
      <c r="A8" s="0" t="s">
        <v>201</v>
      </c>
      <c r="B8" s="0" t="n">
        <f aca="false">B6*Offer_Ladder!$B$14-B7*Inputs!$B$16*Inputs!$B$15</f>
        <v>0</v>
      </c>
      <c r="C8" s="0" t="n">
        <f aca="false">C6*Offer_Ladder!$B$14-C7*Inputs!$B$16*Inputs!$B$15</f>
        <v>5472.705</v>
      </c>
      <c r="D8" s="0" t="n">
        <f aca="false">D6*Offer_Ladder!$B$14-D7*Inputs!$B$16*Inputs!$B$15</f>
        <v>9577.23375</v>
      </c>
      <c r="E8" s="0" t="n">
        <f aca="false">E6*Offer_Ladder!$B$14-E7*Inputs!$B$16*Inputs!$B$15</f>
        <v>14365.850625</v>
      </c>
      <c r="F8" s="0" t="n">
        <f aca="false">F6*Offer_Ladder!$B$14-F7*Inputs!$B$16*Inputs!$B$15</f>
        <v>17102.203125</v>
      </c>
      <c r="G8" s="0" t="n">
        <f aca="false">G6*Offer_Ladder!$B$14-G7*Inputs!$B$16*Inputs!$B$15</f>
        <v>22574.908125</v>
      </c>
      <c r="H8" s="0" t="n">
        <f aca="false">H6*Offer_Ladder!$B$14-H7*Inputs!$B$16*Inputs!$B$15</f>
        <v>25995.34875</v>
      </c>
      <c r="I8" s="0" t="n">
        <f aca="false">I6*Offer_Ladder!$B$14-I7*Inputs!$B$16*Inputs!$B$15</f>
        <v>32152.141875</v>
      </c>
      <c r="J8" s="0" t="n">
        <f aca="false">J6*Offer_Ladder!$B$14-J7*Inputs!$B$16*Inputs!$B$15</f>
        <v>36256.670625</v>
      </c>
      <c r="K8" s="0" t="n">
        <f aca="false">K6*Offer_Ladder!$B$14-K7*Inputs!$B$16*Inputs!$B$15</f>
        <v>40361.199375</v>
      </c>
      <c r="L8" s="0" t="n">
        <f aca="false">L6*Offer_Ladder!$B$14-L7*Inputs!$B$16*Inputs!$B$15</f>
        <v>47202.080625</v>
      </c>
      <c r="M8" s="0" t="n">
        <f aca="false">M6*Offer_Ladder!$B$14-M7*Inputs!$B$16*Inputs!$B$15</f>
        <v>51990.6975</v>
      </c>
      <c r="N8" s="0" t="n">
        <f aca="false">SUM(B8:M8)</f>
        <v>303051.039375</v>
      </c>
    </row>
    <row r="9" customFormat="false" ht="15" hidden="false" customHeight="false" outlineLevel="0" collapsed="false">
      <c r="A9" s="0" t="s">
        <v>202</v>
      </c>
      <c r="B9" s="0" t="n">
        <f aca="false">Offer_Ladder!$B$17*B7</f>
        <v>0</v>
      </c>
      <c r="C9" s="0" t="n">
        <f aca="false">Offer_Ladder!$B$17*C7+(1-Offer_Ladder!$B$17)*B7</f>
        <v>14250</v>
      </c>
      <c r="D9" s="0" t="n">
        <f aca="false">Offer_Ladder!$B$17*D7+(1-Offer_Ladder!$B$17)*C7</f>
        <v>24937.5</v>
      </c>
      <c r="E9" s="0" t="n">
        <f aca="false">Offer_Ladder!$B$17*E7+(1-Offer_Ladder!$B$17)*D7</f>
        <v>37406.25</v>
      </c>
      <c r="F9" s="0" t="n">
        <f aca="false">Offer_Ladder!$B$17*F7+(1-Offer_Ladder!$B$17)*E7</f>
        <v>44531.25</v>
      </c>
      <c r="G9" s="0" t="n">
        <f aca="false">Offer_Ladder!$B$17*G7+(1-Offer_Ladder!$B$17)*F7</f>
        <v>58781.25</v>
      </c>
      <c r="H9" s="0" t="n">
        <f aca="false">Offer_Ladder!$B$17*H7+(1-Offer_Ladder!$B$17)*G7</f>
        <v>67687.5</v>
      </c>
      <c r="I9" s="0" t="n">
        <f aca="false">Offer_Ladder!$B$17*I7+(1-Offer_Ladder!$B$17)*H7</f>
        <v>83718.75</v>
      </c>
      <c r="J9" s="0" t="n">
        <f aca="false">Offer_Ladder!$B$17*J7+(1-Offer_Ladder!$B$17)*I7</f>
        <v>94406.25</v>
      </c>
      <c r="K9" s="0" t="n">
        <f aca="false">Offer_Ladder!$B$17*K7+(1-Offer_Ladder!$B$17)*J7</f>
        <v>105093.75</v>
      </c>
      <c r="L9" s="0" t="n">
        <f aca="false">Offer_Ladder!$B$17*L7+(1-Offer_Ladder!$B$17)*K7</f>
        <v>122906.25</v>
      </c>
      <c r="M9" s="0" t="n">
        <f aca="false">Offer_Ladder!$B$17*M7+(1-Offer_Ladder!$B$17)*L7</f>
        <v>135375</v>
      </c>
      <c r="N9" s="0" t="n">
        <f aca="false">SUM(B9:M9)</f>
        <v>789093.75</v>
      </c>
    </row>
    <row r="10" customFormat="false" ht="15" hidden="false" customHeight="false" outlineLevel="0" collapsed="false">
      <c r="A10" s="0" t="s">
        <v>203</v>
      </c>
      <c r="B10" s="0" t="n">
        <f aca="false">B7-B8</f>
        <v>0</v>
      </c>
      <c r="C10" s="0" t="n">
        <f aca="false">C7-C8</f>
        <v>8777.295</v>
      </c>
      <c r="D10" s="0" t="n">
        <f aca="false">D7-D8</f>
        <v>15360.26625</v>
      </c>
      <c r="E10" s="0" t="n">
        <f aca="false">E7-E8</f>
        <v>23040.399375</v>
      </c>
      <c r="F10" s="0" t="n">
        <f aca="false">F7-F8</f>
        <v>27429.046875</v>
      </c>
      <c r="G10" s="0" t="n">
        <f aca="false">G7-G8</f>
        <v>36206.341875</v>
      </c>
      <c r="H10" s="0" t="n">
        <f aca="false">H7-H8</f>
        <v>41692.15125</v>
      </c>
      <c r="I10" s="0" t="n">
        <f aca="false">I7-I8</f>
        <v>51566.608125</v>
      </c>
      <c r="J10" s="0" t="n">
        <f aca="false">J7-J8</f>
        <v>58149.579375</v>
      </c>
      <c r="K10" s="0" t="n">
        <f aca="false">K7-K8</f>
        <v>64732.550625</v>
      </c>
      <c r="L10" s="0" t="n">
        <f aca="false">L7-L8</f>
        <v>75704.169375</v>
      </c>
      <c r="M10" s="0" t="n">
        <f aca="false">M7-M8</f>
        <v>83384.3025</v>
      </c>
      <c r="N10" s="0" t="n">
        <f aca="false">SUM(B10:M10)</f>
        <v>486042.710625</v>
      </c>
    </row>
    <row r="12" customFormat="false" ht="15" hidden="false" customHeight="false" outlineLevel="0" collapsed="false">
      <c r="A12" s="4" t="s">
        <v>156</v>
      </c>
    </row>
    <row r="13" customFormat="false" ht="15" hidden="false" customHeight="false" outlineLevel="0" collapsed="false">
      <c r="A13" s="0" t="s">
        <v>196</v>
      </c>
      <c r="B13" s="0" t="n">
        <f aca="false">B14*Inputs!$B$20</f>
        <v>0</v>
      </c>
      <c r="C13" s="0" t="n">
        <f aca="false">C14*Inputs!$B$20</f>
        <v>0.75</v>
      </c>
      <c r="D13" s="0" t="n">
        <f aca="false">D14*Inputs!$B$20</f>
        <v>0.75</v>
      </c>
      <c r="E13" s="0" t="n">
        <f aca="false">E14*Inputs!$B$20</f>
        <v>0.75</v>
      </c>
      <c r="F13" s="0" t="n">
        <f aca="false">F14*Inputs!$B$20</f>
        <v>1.5</v>
      </c>
      <c r="G13" s="0" t="n">
        <f aca="false">G14*Inputs!$B$20</f>
        <v>1.5</v>
      </c>
      <c r="H13" s="0" t="n">
        <f aca="false">H14*Inputs!$B$20</f>
        <v>1.5</v>
      </c>
      <c r="I13" s="0" t="n">
        <f aca="false">I14*Inputs!$B$20</f>
        <v>1.5</v>
      </c>
      <c r="J13" s="0" t="n">
        <f aca="false">J14*Inputs!$B$20</f>
        <v>2.25</v>
      </c>
      <c r="K13" s="0" t="n">
        <f aca="false">K14*Inputs!$B$20</f>
        <v>2.25</v>
      </c>
      <c r="L13" s="0" t="n">
        <f aca="false">L14*Inputs!$B$20</f>
        <v>2.25</v>
      </c>
      <c r="M13" s="0" t="n">
        <f aca="false">M14*Inputs!$B$20</f>
        <v>2.25</v>
      </c>
      <c r="N13" s="0" t="n">
        <f aca="false">SUM(B13:M13)</f>
        <v>17.25</v>
      </c>
    </row>
    <row r="14" customFormat="false" ht="15" hidden="false" customHeight="false" outlineLevel="0" collapsed="false">
      <c r="A14" s="0" t="s">
        <v>197</v>
      </c>
      <c r="B14" s="2" t="n">
        <v>0</v>
      </c>
      <c r="C14" s="2" t="n">
        <v>1</v>
      </c>
      <c r="D14" s="2" t="n">
        <v>1</v>
      </c>
      <c r="E14" s="2" t="n">
        <v>1</v>
      </c>
      <c r="F14" s="2" t="n">
        <v>2</v>
      </c>
      <c r="G14" s="2" t="n">
        <v>2</v>
      </c>
      <c r="H14" s="2" t="n">
        <v>2</v>
      </c>
      <c r="I14" s="2" t="n">
        <v>2</v>
      </c>
      <c r="J14" s="2" t="n">
        <v>3</v>
      </c>
      <c r="K14" s="2" t="n">
        <v>3</v>
      </c>
      <c r="L14" s="2" t="n">
        <v>3</v>
      </c>
      <c r="M14" s="2" t="n">
        <v>3</v>
      </c>
    </row>
    <row r="15" customFormat="false" ht="15" hidden="false" customHeight="false" outlineLevel="0" collapsed="false">
      <c r="A15" s="0" t="s">
        <v>198</v>
      </c>
      <c r="B15" s="0" t="n">
        <v>0</v>
      </c>
      <c r="C15" s="0" t="n">
        <f aca="false">SUM($B13:B13)</f>
        <v>0</v>
      </c>
      <c r="D15" s="0" t="n">
        <f aca="false">SUM($B13:C13)</f>
        <v>0.75</v>
      </c>
      <c r="E15" s="0" t="n">
        <f aca="false">SUM($B13:D13)</f>
        <v>1.5</v>
      </c>
      <c r="F15" s="0" t="n">
        <f aca="false">SUM($B13:E13)</f>
        <v>2.25</v>
      </c>
      <c r="G15" s="0" t="n">
        <f aca="false">SUM($B13:F13)</f>
        <v>3.75</v>
      </c>
      <c r="H15" s="0" t="n">
        <f aca="false">SUM($B13:G13)</f>
        <v>5.25</v>
      </c>
      <c r="I15" s="0" t="n">
        <f aca="false">SUM($B13:H13)</f>
        <v>6.75</v>
      </c>
      <c r="J15" s="0" t="n">
        <f aca="false">SUM($B13:I13)</f>
        <v>8.25</v>
      </c>
      <c r="K15" s="0" t="n">
        <f aca="false">SUM($B13:J13)</f>
        <v>10.5</v>
      </c>
      <c r="L15" s="0" t="n">
        <f aca="false">SUM($B13:K13)</f>
        <v>12.75</v>
      </c>
      <c r="M15" s="0" t="n">
        <f aca="false">SUM($B13:L13)</f>
        <v>15</v>
      </c>
    </row>
    <row r="16" customFormat="false" ht="15" hidden="false" customHeight="false" outlineLevel="0" collapsed="false">
      <c r="A16" s="0" t="s">
        <v>199</v>
      </c>
      <c r="B16" s="0" t="n">
        <f aca="false">B13+B15*Offer_Ladder!$C$16</f>
        <v>0</v>
      </c>
      <c r="C16" s="0" t="n">
        <f aca="false">C13+C15*Offer_Ladder!$C$16</f>
        <v>0.75</v>
      </c>
      <c r="D16" s="0" t="n">
        <f aca="false">D13+D15*Offer_Ladder!$C$16</f>
        <v>0.8625</v>
      </c>
      <c r="E16" s="0" t="n">
        <f aca="false">E13+E15*Offer_Ladder!$C$16</f>
        <v>0.975</v>
      </c>
      <c r="F16" s="0" t="n">
        <f aca="false">F13+F15*Offer_Ladder!$C$16</f>
        <v>1.8375</v>
      </c>
      <c r="G16" s="0" t="n">
        <f aca="false">G13+G15*Offer_Ladder!$C$16</f>
        <v>2.0625</v>
      </c>
      <c r="H16" s="0" t="n">
        <f aca="false">H13+H15*Offer_Ladder!$C$16</f>
        <v>2.2875</v>
      </c>
      <c r="I16" s="0" t="n">
        <f aca="false">I13+I15*Offer_Ladder!$C$16</f>
        <v>2.5125</v>
      </c>
      <c r="J16" s="0" t="n">
        <f aca="false">J13+J15*Offer_Ladder!$C$16</f>
        <v>3.4875</v>
      </c>
      <c r="K16" s="0" t="n">
        <f aca="false">K13+K15*Offer_Ladder!$C$16</f>
        <v>3.825</v>
      </c>
      <c r="L16" s="0" t="n">
        <f aca="false">L13+L15*Offer_Ladder!$C$16</f>
        <v>4.1625</v>
      </c>
      <c r="M16" s="0" t="n">
        <f aca="false">M13+M15*Offer_Ladder!$C$16</f>
        <v>4.5</v>
      </c>
      <c r="N16" s="0" t="n">
        <f aca="false">SUM(B16:M16)</f>
        <v>27.2625</v>
      </c>
    </row>
    <row r="17" customFormat="false" ht="15" hidden="false" customHeight="false" outlineLevel="0" collapsed="false">
      <c r="A17" s="0" t="s">
        <v>200</v>
      </c>
      <c r="B17" s="0" t="n">
        <f aca="false">B16*Offer_Ladder!$C$10</f>
        <v>0</v>
      </c>
      <c r="C17" s="0" t="n">
        <f aca="false">C16*Offer_Ladder!$C$10</f>
        <v>22500</v>
      </c>
      <c r="D17" s="0" t="n">
        <f aca="false">D16*Offer_Ladder!$C$10</f>
        <v>25875</v>
      </c>
      <c r="E17" s="0" t="n">
        <f aca="false">E16*Offer_Ladder!$C$10</f>
        <v>29250</v>
      </c>
      <c r="F17" s="0" t="n">
        <f aca="false">F16*Offer_Ladder!$C$10</f>
        <v>55125</v>
      </c>
      <c r="G17" s="0" t="n">
        <f aca="false">G16*Offer_Ladder!$C$10</f>
        <v>61875</v>
      </c>
      <c r="H17" s="0" t="n">
        <f aca="false">H16*Offer_Ladder!$C$10</f>
        <v>68625</v>
      </c>
      <c r="I17" s="0" t="n">
        <f aca="false">I16*Offer_Ladder!$C$10</f>
        <v>75375</v>
      </c>
      <c r="J17" s="0" t="n">
        <f aca="false">J16*Offer_Ladder!$C$10</f>
        <v>104625</v>
      </c>
      <c r="K17" s="0" t="n">
        <f aca="false">K16*Offer_Ladder!$C$10</f>
        <v>114750</v>
      </c>
      <c r="L17" s="0" t="n">
        <f aca="false">L16*Offer_Ladder!$C$10</f>
        <v>124875</v>
      </c>
      <c r="M17" s="0" t="n">
        <f aca="false">M16*Offer_Ladder!$C$10</f>
        <v>135000</v>
      </c>
      <c r="N17" s="0" t="n">
        <f aca="false">SUM(B17:M17)</f>
        <v>817875</v>
      </c>
    </row>
    <row r="18" customFormat="false" ht="15" hidden="false" customHeight="false" outlineLevel="0" collapsed="false">
      <c r="A18" s="0" t="s">
        <v>201</v>
      </c>
      <c r="B18" s="0" t="n">
        <f aca="false">B16*Offer_Ladder!$C$14-B17*Inputs!$B$16*Inputs!$B$15</f>
        <v>0</v>
      </c>
      <c r="C18" s="0" t="n">
        <f aca="false">C16*Offer_Ladder!$C$14-C17*Inputs!$B$16*Inputs!$B$15</f>
        <v>7023.7495599192</v>
      </c>
      <c r="D18" s="0" t="n">
        <f aca="false">D16*Offer_Ladder!$C$14-D17*Inputs!$B$16*Inputs!$B$15</f>
        <v>8077.31199390708</v>
      </c>
      <c r="E18" s="0" t="n">
        <f aca="false">E16*Offer_Ladder!$C$14-E17*Inputs!$B$16*Inputs!$B$15</f>
        <v>9130.87442789496</v>
      </c>
      <c r="F18" s="0" t="n">
        <f aca="false">F16*Offer_Ladder!$C$14-F17*Inputs!$B$16*Inputs!$B$15</f>
        <v>17208.186421802</v>
      </c>
      <c r="G18" s="0" t="n">
        <f aca="false">G16*Offer_Ladder!$C$14-G17*Inputs!$B$16*Inputs!$B$15</f>
        <v>19315.3112897778</v>
      </c>
      <c r="H18" s="0" t="n">
        <f aca="false">H16*Offer_Ladder!$C$14-H17*Inputs!$B$16*Inputs!$B$15</f>
        <v>21422.4361577536</v>
      </c>
      <c r="I18" s="0" t="n">
        <f aca="false">I16*Offer_Ladder!$C$14-I17*Inputs!$B$16*Inputs!$B$15</f>
        <v>23529.5610257293</v>
      </c>
      <c r="J18" s="0" t="n">
        <f aca="false">J16*Offer_Ladder!$C$14-J17*Inputs!$B$16*Inputs!$B$15</f>
        <v>32660.4354536243</v>
      </c>
      <c r="K18" s="0" t="n">
        <f aca="false">K16*Offer_Ladder!$C$14-K17*Inputs!$B$16*Inputs!$B$15</f>
        <v>35821.1227555879</v>
      </c>
      <c r="L18" s="0" t="n">
        <f aca="false">L16*Offer_Ladder!$C$14-L17*Inputs!$B$16*Inputs!$B$15</f>
        <v>38981.8100575516</v>
      </c>
      <c r="M18" s="0" t="n">
        <f aca="false">M16*Offer_Ladder!$C$14-M17*Inputs!$B$16*Inputs!$B$15</f>
        <v>42142.4973595152</v>
      </c>
      <c r="N18" s="0" t="n">
        <f aca="false">SUM(B18:M18)</f>
        <v>255313.296503063</v>
      </c>
    </row>
    <row r="19" customFormat="false" ht="15" hidden="false" customHeight="false" outlineLevel="0" collapsed="false">
      <c r="A19" s="0" t="s">
        <v>202</v>
      </c>
      <c r="B19" s="0" t="n">
        <f aca="false">Offer_Ladder!$C$17*B17</f>
        <v>0</v>
      </c>
      <c r="C19" s="0" t="n">
        <f aca="false">Offer_Ladder!$C$17*C17+(1-Offer_Ladder!$C$17)*B17</f>
        <v>11250</v>
      </c>
      <c r="D19" s="0" t="n">
        <f aca="false">Offer_Ladder!$C$17*D17+(1-Offer_Ladder!$C$17)*C17</f>
        <v>24187.5</v>
      </c>
      <c r="E19" s="0" t="n">
        <f aca="false">Offer_Ladder!$C$17*E17+(1-Offer_Ladder!$C$17)*D17</f>
        <v>27562.5</v>
      </c>
      <c r="F19" s="0" t="n">
        <f aca="false">Offer_Ladder!$C$17*F17+(1-Offer_Ladder!$C$17)*E17</f>
        <v>42187.5</v>
      </c>
      <c r="G19" s="0" t="n">
        <f aca="false">Offer_Ladder!$C$17*G17+(1-Offer_Ladder!$C$17)*F17</f>
        <v>58500</v>
      </c>
      <c r="H19" s="0" t="n">
        <f aca="false">Offer_Ladder!$C$17*H17+(1-Offer_Ladder!$C$17)*G17</f>
        <v>65250</v>
      </c>
      <c r="I19" s="0" t="n">
        <f aca="false">Offer_Ladder!$C$17*I17+(1-Offer_Ladder!$C$17)*H17</f>
        <v>72000</v>
      </c>
      <c r="J19" s="0" t="n">
        <f aca="false">Offer_Ladder!$C$17*J17+(1-Offer_Ladder!$C$17)*I17</f>
        <v>90000</v>
      </c>
      <c r="K19" s="0" t="n">
        <f aca="false">Offer_Ladder!$C$17*K17+(1-Offer_Ladder!$C$17)*J17</f>
        <v>109687.5</v>
      </c>
      <c r="L19" s="0" t="n">
        <f aca="false">Offer_Ladder!$C$17*L17+(1-Offer_Ladder!$C$17)*K17</f>
        <v>119812.5</v>
      </c>
      <c r="M19" s="0" t="n">
        <f aca="false">Offer_Ladder!$C$17*M17+(1-Offer_Ladder!$C$17)*L17</f>
        <v>129937.5</v>
      </c>
      <c r="N19" s="0" t="n">
        <f aca="false">SUM(B19:M19)</f>
        <v>750375</v>
      </c>
    </row>
    <row r="20" customFormat="false" ht="15" hidden="false" customHeight="false" outlineLevel="0" collapsed="false">
      <c r="A20" s="0" t="s">
        <v>203</v>
      </c>
      <c r="B20" s="0" t="n">
        <f aca="false">B17-B18</f>
        <v>0</v>
      </c>
      <c r="C20" s="0" t="n">
        <f aca="false">C17-C18</f>
        <v>15476.2504400808</v>
      </c>
      <c r="D20" s="0" t="n">
        <f aca="false">D17-D18</f>
        <v>17797.6880060929</v>
      </c>
      <c r="E20" s="0" t="n">
        <f aca="false">E17-E18</f>
        <v>20119.125572105</v>
      </c>
      <c r="F20" s="0" t="n">
        <f aca="false">F17-F18</f>
        <v>37916.813578198</v>
      </c>
      <c r="G20" s="0" t="n">
        <f aca="false">G17-G18</f>
        <v>42559.6887102222</v>
      </c>
      <c r="H20" s="0" t="n">
        <f aca="false">H17-H18</f>
        <v>47202.5638422464</v>
      </c>
      <c r="I20" s="0" t="n">
        <f aca="false">I17-I18</f>
        <v>51845.4389742707</v>
      </c>
      <c r="J20" s="0" t="n">
        <f aca="false">J17-J18</f>
        <v>71964.5645463757</v>
      </c>
      <c r="K20" s="0" t="n">
        <f aca="false">K17-K18</f>
        <v>78928.8772444121</v>
      </c>
      <c r="L20" s="0" t="n">
        <f aca="false">L17-L18</f>
        <v>85893.1899424484</v>
      </c>
      <c r="M20" s="0" t="n">
        <f aca="false">M17-M18</f>
        <v>92857.5026404848</v>
      </c>
      <c r="N20" s="0" t="n">
        <f aca="false">SUM(B20:M20)</f>
        <v>562561.703496937</v>
      </c>
    </row>
    <row r="22" customFormat="false" ht="15" hidden="false" customHeight="false" outlineLevel="0" collapsed="false">
      <c r="A22" s="4" t="s">
        <v>157</v>
      </c>
    </row>
    <row r="23" customFormat="false" ht="15" hidden="false" customHeight="false" outlineLevel="0" collapsed="false">
      <c r="A23" s="0" t="s">
        <v>196</v>
      </c>
      <c r="B23" s="0" t="n">
        <f aca="false">B24*Inputs!$B$20</f>
        <v>0</v>
      </c>
      <c r="C23" s="0" t="n">
        <f aca="false">C24*Inputs!$B$20</f>
        <v>0</v>
      </c>
      <c r="D23" s="0" t="n">
        <f aca="false">D24*Inputs!$B$20</f>
        <v>0</v>
      </c>
      <c r="E23" s="0" t="n">
        <f aca="false">E24*Inputs!$B$20</f>
        <v>0.75</v>
      </c>
      <c r="F23" s="0" t="n">
        <f aca="false">F24*Inputs!$B$20</f>
        <v>0</v>
      </c>
      <c r="G23" s="0" t="n">
        <f aca="false">G24*Inputs!$B$20</f>
        <v>0.75</v>
      </c>
      <c r="H23" s="0" t="n">
        <f aca="false">H24*Inputs!$B$20</f>
        <v>0</v>
      </c>
      <c r="I23" s="0" t="n">
        <f aca="false">I24*Inputs!$B$20</f>
        <v>0.75</v>
      </c>
      <c r="J23" s="0" t="n">
        <f aca="false">J24*Inputs!$B$20</f>
        <v>0.75</v>
      </c>
      <c r="K23" s="0" t="n">
        <f aca="false">K24*Inputs!$B$20</f>
        <v>0</v>
      </c>
      <c r="L23" s="0" t="n">
        <f aca="false">L24*Inputs!$B$20</f>
        <v>0.75</v>
      </c>
      <c r="M23" s="0" t="n">
        <f aca="false">M24*Inputs!$B$20</f>
        <v>0.75</v>
      </c>
      <c r="N23" s="0" t="n">
        <f aca="false">SUM(B23:M23)</f>
        <v>4.5</v>
      </c>
    </row>
    <row r="24" customFormat="false" ht="15" hidden="false" customHeight="false" outlineLevel="0" collapsed="false">
      <c r="A24" s="0" t="s">
        <v>197</v>
      </c>
      <c r="B24" s="2" t="n">
        <v>0</v>
      </c>
      <c r="C24" s="2" t="n">
        <v>0</v>
      </c>
      <c r="D24" s="2" t="n">
        <v>0</v>
      </c>
      <c r="E24" s="2" t="n">
        <v>1</v>
      </c>
      <c r="F24" s="2" t="n">
        <v>0</v>
      </c>
      <c r="G24" s="2" t="n">
        <v>1</v>
      </c>
      <c r="H24" s="2" t="n">
        <v>0</v>
      </c>
      <c r="I24" s="2" t="n">
        <v>1</v>
      </c>
      <c r="J24" s="2" t="n">
        <v>1</v>
      </c>
      <c r="K24" s="2" t="n">
        <v>0</v>
      </c>
      <c r="L24" s="2" t="n">
        <v>1</v>
      </c>
      <c r="M24" s="2" t="n">
        <v>1</v>
      </c>
    </row>
    <row r="25" customFormat="false" ht="15" hidden="false" customHeight="false" outlineLevel="0" collapsed="false">
      <c r="A25" s="0" t="s">
        <v>198</v>
      </c>
      <c r="B25" s="0" t="n">
        <v>0</v>
      </c>
      <c r="C25" s="0" t="n">
        <f aca="false">SUM($B23:B23)</f>
        <v>0</v>
      </c>
      <c r="D25" s="0" t="n">
        <f aca="false">SUM($B23:C23)</f>
        <v>0</v>
      </c>
      <c r="E25" s="0" t="n">
        <f aca="false">SUM($B23:D23)</f>
        <v>0</v>
      </c>
      <c r="F25" s="0" t="n">
        <f aca="false">SUM($B23:E23)</f>
        <v>0.75</v>
      </c>
      <c r="G25" s="0" t="n">
        <f aca="false">SUM($B23:F23)</f>
        <v>0.75</v>
      </c>
      <c r="H25" s="0" t="n">
        <f aca="false">SUM($B23:G23)</f>
        <v>1.5</v>
      </c>
      <c r="I25" s="0" t="n">
        <f aca="false">SUM($B23:H23)</f>
        <v>1.5</v>
      </c>
      <c r="J25" s="0" t="n">
        <f aca="false">SUM($B23:I23)</f>
        <v>2.25</v>
      </c>
      <c r="K25" s="0" t="n">
        <f aca="false">SUM($B23:J23)</f>
        <v>3</v>
      </c>
      <c r="L25" s="0" t="n">
        <f aca="false">SUM($B23:K23)</f>
        <v>3</v>
      </c>
      <c r="M25" s="0" t="n">
        <f aca="false">SUM($B23:L23)</f>
        <v>3.75</v>
      </c>
    </row>
    <row r="26" customFormat="false" ht="15" hidden="false" customHeight="false" outlineLevel="0" collapsed="false">
      <c r="A26" s="0" t="s">
        <v>199</v>
      </c>
      <c r="B26" s="0" t="n">
        <f aca="false">B23+B25*Offer_Ladder!$D$16</f>
        <v>0</v>
      </c>
      <c r="C26" s="0" t="n">
        <f aca="false">C23+C25*Offer_Ladder!$D$16</f>
        <v>0</v>
      </c>
      <c r="D26" s="0" t="n">
        <f aca="false">D23+D25*Offer_Ladder!$D$16</f>
        <v>0</v>
      </c>
      <c r="E26" s="0" t="n">
        <f aca="false">E23+E25*Offer_Ladder!$D$16</f>
        <v>0.75</v>
      </c>
      <c r="F26" s="0" t="n">
        <f aca="false">F23+F25*Offer_Ladder!$D$16</f>
        <v>0.09</v>
      </c>
      <c r="G26" s="0" t="n">
        <f aca="false">G23+G25*Offer_Ladder!$D$16</f>
        <v>0.84</v>
      </c>
      <c r="H26" s="0" t="n">
        <f aca="false">H23+H25*Offer_Ladder!$D$16</f>
        <v>0.18</v>
      </c>
      <c r="I26" s="0" t="n">
        <f aca="false">I23+I25*Offer_Ladder!$D$16</f>
        <v>0.93</v>
      </c>
      <c r="J26" s="0" t="n">
        <f aca="false">J23+J25*Offer_Ladder!$D$16</f>
        <v>1.02</v>
      </c>
      <c r="K26" s="0" t="n">
        <f aca="false">K23+K25*Offer_Ladder!$D$16</f>
        <v>0.36</v>
      </c>
      <c r="L26" s="0" t="n">
        <f aca="false">L23+L25*Offer_Ladder!$D$16</f>
        <v>1.11</v>
      </c>
      <c r="M26" s="0" t="n">
        <f aca="false">M23+M25*Offer_Ladder!$D$16</f>
        <v>1.2</v>
      </c>
      <c r="N26" s="0" t="n">
        <f aca="false">SUM(B26:M26)</f>
        <v>6.48</v>
      </c>
    </row>
    <row r="27" customFormat="false" ht="15" hidden="false" customHeight="false" outlineLevel="0" collapsed="false">
      <c r="A27" s="0" t="s">
        <v>200</v>
      </c>
      <c r="B27" s="0" t="n">
        <f aca="false">B26*Offer_Ladder!$D$10</f>
        <v>0</v>
      </c>
      <c r="C27" s="0" t="n">
        <f aca="false">C26*Offer_Ladder!$D$10</f>
        <v>0</v>
      </c>
      <c r="D27" s="0" t="n">
        <f aca="false">D26*Offer_Ladder!$D$10</f>
        <v>0</v>
      </c>
      <c r="E27" s="0" t="n">
        <f aca="false">E26*Offer_Ladder!$D$10</f>
        <v>42450</v>
      </c>
      <c r="F27" s="0" t="n">
        <f aca="false">F26*Offer_Ladder!$D$10</f>
        <v>5094</v>
      </c>
      <c r="G27" s="0" t="n">
        <f aca="false">G26*Offer_Ladder!$D$10</f>
        <v>47544</v>
      </c>
      <c r="H27" s="0" t="n">
        <f aca="false">H26*Offer_Ladder!$D$10</f>
        <v>10188</v>
      </c>
      <c r="I27" s="0" t="n">
        <f aca="false">I26*Offer_Ladder!$D$10</f>
        <v>52638</v>
      </c>
      <c r="J27" s="0" t="n">
        <f aca="false">J26*Offer_Ladder!$D$10</f>
        <v>57732</v>
      </c>
      <c r="K27" s="0" t="n">
        <f aca="false">K26*Offer_Ladder!$D$10</f>
        <v>20376</v>
      </c>
      <c r="L27" s="0" t="n">
        <f aca="false">L26*Offer_Ladder!$D$10</f>
        <v>62826</v>
      </c>
      <c r="M27" s="0" t="n">
        <f aca="false">M26*Offer_Ladder!$D$10</f>
        <v>67920</v>
      </c>
      <c r="N27" s="0" t="n">
        <f aca="false">SUM(B27:M27)</f>
        <v>366768</v>
      </c>
    </row>
    <row r="28" customFormat="false" ht="15" hidden="false" customHeight="false" outlineLevel="0" collapsed="false">
      <c r="A28" s="0" t="s">
        <v>201</v>
      </c>
      <c r="B28" s="0" t="n">
        <f aca="false">B26*Offer_Ladder!$D$14-B27*Inputs!$B$16*Inputs!$B$15</f>
        <v>0</v>
      </c>
      <c r="C28" s="0" t="n">
        <f aca="false">C26*Offer_Ladder!$D$14-C27*Inputs!$B$16*Inputs!$B$15</f>
        <v>0</v>
      </c>
      <c r="D28" s="0" t="n">
        <f aca="false">D26*Offer_Ladder!$D$14-D27*Inputs!$B$16*Inputs!$B$15</f>
        <v>0</v>
      </c>
      <c r="E28" s="0" t="n">
        <f aca="false">E26*Offer_Ladder!$D$14-E27*Inputs!$B$16*Inputs!$B$15</f>
        <v>3348.3</v>
      </c>
      <c r="F28" s="0" t="n">
        <f aca="false">F26*Offer_Ladder!$D$14-F27*Inputs!$B$16*Inputs!$B$15</f>
        <v>401.795999999999</v>
      </c>
      <c r="G28" s="0" t="n">
        <f aca="false">G26*Offer_Ladder!$D$14-G27*Inputs!$B$16*Inputs!$B$15</f>
        <v>3750.096</v>
      </c>
      <c r="H28" s="0" t="n">
        <f aca="false">H26*Offer_Ladder!$D$14-H27*Inputs!$B$16*Inputs!$B$15</f>
        <v>803.591999999999</v>
      </c>
      <c r="I28" s="0" t="n">
        <f aca="false">I26*Offer_Ladder!$D$14-I27*Inputs!$B$16*Inputs!$B$15</f>
        <v>4151.89199999999</v>
      </c>
      <c r="J28" s="0" t="n">
        <f aca="false">J26*Offer_Ladder!$D$14-J27*Inputs!$B$16*Inputs!$B$15</f>
        <v>4553.688</v>
      </c>
      <c r="K28" s="0" t="n">
        <f aca="false">K26*Offer_Ladder!$D$14-K27*Inputs!$B$16*Inputs!$B$15</f>
        <v>1607.184</v>
      </c>
      <c r="L28" s="0" t="n">
        <f aca="false">L26*Offer_Ladder!$D$14-L27*Inputs!$B$16*Inputs!$B$15</f>
        <v>4955.48399999999</v>
      </c>
      <c r="M28" s="0" t="n">
        <f aca="false">M26*Offer_Ladder!$D$14-M27*Inputs!$B$16*Inputs!$B$15</f>
        <v>5357.27999999999</v>
      </c>
      <c r="N28" s="0" t="n">
        <f aca="false">SUM(B28:M28)</f>
        <v>28929.312</v>
      </c>
    </row>
    <row r="29" customFormat="false" ht="15" hidden="false" customHeight="false" outlineLevel="0" collapsed="false">
      <c r="A29" s="0" t="s">
        <v>202</v>
      </c>
      <c r="B29" s="0" t="n">
        <f aca="false">Offer_Ladder!$D$17*B27</f>
        <v>0</v>
      </c>
      <c r="C29" s="0" t="n">
        <f aca="false">Offer_Ladder!$D$17*C27+(1-Offer_Ladder!$D$17)*B27</f>
        <v>0</v>
      </c>
      <c r="D29" s="0" t="n">
        <f aca="false">Offer_Ladder!$D$17*D27+(1-Offer_Ladder!$D$17)*C27</f>
        <v>0</v>
      </c>
      <c r="E29" s="0" t="n">
        <f aca="false">Offer_Ladder!$D$17*E27+(1-Offer_Ladder!$D$17)*D27</f>
        <v>21225</v>
      </c>
      <c r="F29" s="0" t="n">
        <f aca="false">Offer_Ladder!$D$17*F27+(1-Offer_Ladder!$D$17)*E27</f>
        <v>23772</v>
      </c>
      <c r="G29" s="0" t="n">
        <f aca="false">Offer_Ladder!$D$17*G27+(1-Offer_Ladder!$D$17)*F27</f>
        <v>26319</v>
      </c>
      <c r="H29" s="0" t="n">
        <f aca="false">Offer_Ladder!$D$17*H27+(1-Offer_Ladder!$D$17)*G27</f>
        <v>28866</v>
      </c>
      <c r="I29" s="0" t="n">
        <f aca="false">Offer_Ladder!$D$17*I27+(1-Offer_Ladder!$D$17)*H27</f>
        <v>31413</v>
      </c>
      <c r="J29" s="0" t="n">
        <f aca="false">Offer_Ladder!$D$17*J27+(1-Offer_Ladder!$D$17)*I27</f>
        <v>55185</v>
      </c>
      <c r="K29" s="0" t="n">
        <f aca="false">Offer_Ladder!$D$17*K27+(1-Offer_Ladder!$D$17)*J27</f>
        <v>39054</v>
      </c>
      <c r="L29" s="0" t="n">
        <f aca="false">Offer_Ladder!$D$17*L27+(1-Offer_Ladder!$D$17)*K27</f>
        <v>41601</v>
      </c>
      <c r="M29" s="0" t="n">
        <f aca="false">Offer_Ladder!$D$17*M27+(1-Offer_Ladder!$D$17)*L27</f>
        <v>65373</v>
      </c>
      <c r="N29" s="0" t="n">
        <f aca="false">SUM(B29:M29)</f>
        <v>332808</v>
      </c>
    </row>
    <row r="30" customFormat="false" ht="15" hidden="false" customHeight="false" outlineLevel="0" collapsed="false">
      <c r="A30" s="0" t="s">
        <v>203</v>
      </c>
      <c r="B30" s="0" t="n">
        <f aca="false">B27-B28</f>
        <v>0</v>
      </c>
      <c r="C30" s="0" t="n">
        <f aca="false">C27-C28</f>
        <v>0</v>
      </c>
      <c r="D30" s="0" t="n">
        <f aca="false">D27-D28</f>
        <v>0</v>
      </c>
      <c r="E30" s="0" t="n">
        <f aca="false">E27-E28</f>
        <v>39101.7</v>
      </c>
      <c r="F30" s="0" t="n">
        <f aca="false">F27-F28</f>
        <v>4692.204</v>
      </c>
      <c r="G30" s="0" t="n">
        <f aca="false">G27-G28</f>
        <v>43793.904</v>
      </c>
      <c r="H30" s="0" t="n">
        <f aca="false">H27-H28</f>
        <v>9384.408</v>
      </c>
      <c r="I30" s="0" t="n">
        <f aca="false">I27-I28</f>
        <v>48486.108</v>
      </c>
      <c r="J30" s="0" t="n">
        <f aca="false">J27-J28</f>
        <v>53178.312</v>
      </c>
      <c r="K30" s="0" t="n">
        <f aca="false">K27-K28</f>
        <v>18768.816</v>
      </c>
      <c r="L30" s="0" t="n">
        <f aca="false">L27-L28</f>
        <v>57870.516</v>
      </c>
      <c r="M30" s="0" t="n">
        <f aca="false">M27-M28</f>
        <v>62562.72</v>
      </c>
      <c r="N30" s="0" t="n">
        <f aca="false">SUM(B30:M30)</f>
        <v>337838.688</v>
      </c>
    </row>
    <row r="32" customFormat="false" ht="15" hidden="false" customHeight="false" outlineLevel="0" collapsed="false">
      <c r="A32" s="4" t="s">
        <v>158</v>
      </c>
    </row>
    <row r="33" customFormat="false" ht="15" hidden="false" customHeight="false" outlineLevel="0" collapsed="false">
      <c r="A33" s="0" t="s">
        <v>196</v>
      </c>
      <c r="B33" s="0" t="n">
        <f aca="false">B34*Inputs!$B$20</f>
        <v>0.75</v>
      </c>
      <c r="C33" s="0" t="n">
        <f aca="false">C34*Inputs!$B$20</f>
        <v>0.75</v>
      </c>
      <c r="D33" s="0" t="n">
        <f aca="false">D34*Inputs!$B$20</f>
        <v>0.75</v>
      </c>
      <c r="E33" s="0" t="n">
        <f aca="false">E34*Inputs!$B$20</f>
        <v>0.75</v>
      </c>
      <c r="F33" s="0" t="n">
        <f aca="false">F34*Inputs!$B$20</f>
        <v>0.75</v>
      </c>
      <c r="G33" s="0" t="n">
        <f aca="false">G34*Inputs!$B$20</f>
        <v>0.75</v>
      </c>
      <c r="H33" s="0" t="n">
        <f aca="false">H34*Inputs!$B$20</f>
        <v>0.75</v>
      </c>
      <c r="I33" s="0" t="n">
        <f aca="false">I34*Inputs!$B$20</f>
        <v>0.75</v>
      </c>
      <c r="J33" s="0" t="n">
        <f aca="false">J34*Inputs!$B$20</f>
        <v>0.75</v>
      </c>
      <c r="K33" s="0" t="n">
        <f aca="false">K34*Inputs!$B$20</f>
        <v>0.75</v>
      </c>
      <c r="L33" s="0" t="n">
        <f aca="false">L34*Inputs!$B$20</f>
        <v>0.75</v>
      </c>
      <c r="M33" s="0" t="n">
        <f aca="false">M34*Inputs!$B$20</f>
        <v>0.75</v>
      </c>
      <c r="N33" s="0" t="n">
        <f aca="false">SUM(B33:M33)</f>
        <v>9</v>
      </c>
    </row>
    <row r="34" customFormat="false" ht="15" hidden="false" customHeight="false" outlineLevel="0" collapsed="false">
      <c r="A34" s="0" t="s">
        <v>197</v>
      </c>
      <c r="B34" s="2" t="n">
        <v>1</v>
      </c>
      <c r="C34" s="2" t="n">
        <v>1</v>
      </c>
      <c r="D34" s="2" t="n">
        <v>1</v>
      </c>
      <c r="E34" s="2" t="n">
        <v>1</v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1</v>
      </c>
      <c r="K34" s="2" t="n">
        <v>1</v>
      </c>
      <c r="L34" s="2" t="n">
        <v>1</v>
      </c>
      <c r="M34" s="2" t="n">
        <v>1</v>
      </c>
    </row>
    <row r="35" customFormat="false" ht="15" hidden="false" customHeight="false" outlineLevel="0" collapsed="false">
      <c r="A35" s="0" t="s">
        <v>198</v>
      </c>
      <c r="B35" s="0" t="n">
        <v>0</v>
      </c>
      <c r="C35" s="0" t="n">
        <f aca="false">SUM($B33:B33)</f>
        <v>0.75</v>
      </c>
      <c r="D35" s="0" t="n">
        <f aca="false">SUM($B33:C33)</f>
        <v>1.5</v>
      </c>
      <c r="E35" s="0" t="n">
        <f aca="false">SUM($B33:D33)</f>
        <v>2.25</v>
      </c>
      <c r="F35" s="0" t="n">
        <f aca="false">SUM($B33:E33)</f>
        <v>3</v>
      </c>
      <c r="G35" s="0" t="n">
        <f aca="false">SUM($B33:F33)</f>
        <v>3.75</v>
      </c>
      <c r="H35" s="0" t="n">
        <f aca="false">SUM($B33:G33)</f>
        <v>4.5</v>
      </c>
      <c r="I35" s="0" t="n">
        <f aca="false">SUM($B33:H33)</f>
        <v>5.25</v>
      </c>
      <c r="J35" s="0" t="n">
        <f aca="false">SUM($B33:I33)</f>
        <v>6</v>
      </c>
      <c r="K35" s="0" t="n">
        <f aca="false">SUM($B33:J33)</f>
        <v>6.75</v>
      </c>
      <c r="L35" s="0" t="n">
        <f aca="false">SUM($B33:K33)</f>
        <v>7.5</v>
      </c>
      <c r="M35" s="0" t="n">
        <f aca="false">SUM($B33:L33)</f>
        <v>8.25</v>
      </c>
    </row>
    <row r="36" customFormat="false" ht="15" hidden="false" customHeight="false" outlineLevel="0" collapsed="false">
      <c r="A36" s="0" t="s">
        <v>199</v>
      </c>
      <c r="B36" s="0" t="n">
        <f aca="false">B33+B35*Offer_Ladder!$E$16</f>
        <v>0.75</v>
      </c>
      <c r="C36" s="0" t="n">
        <f aca="false">C33+C35*Offer_Ladder!$E$16</f>
        <v>0.7725</v>
      </c>
      <c r="D36" s="0" t="n">
        <f aca="false">D33+D35*Offer_Ladder!$E$16</f>
        <v>0.795</v>
      </c>
      <c r="E36" s="0" t="n">
        <f aca="false">E33+E35*Offer_Ladder!$E$16</f>
        <v>0.8175</v>
      </c>
      <c r="F36" s="0" t="n">
        <f aca="false">F33+F35*Offer_Ladder!$E$16</f>
        <v>0.84</v>
      </c>
      <c r="G36" s="0" t="n">
        <f aca="false">G33+G35*Offer_Ladder!$E$16</f>
        <v>0.8625</v>
      </c>
      <c r="H36" s="0" t="n">
        <f aca="false">H33+H35*Offer_Ladder!$E$16</f>
        <v>0.885</v>
      </c>
      <c r="I36" s="0" t="n">
        <f aca="false">I33+I35*Offer_Ladder!$E$16</f>
        <v>0.9075</v>
      </c>
      <c r="J36" s="0" t="n">
        <f aca="false">J33+J35*Offer_Ladder!$E$16</f>
        <v>0.93</v>
      </c>
      <c r="K36" s="0" t="n">
        <f aca="false">K33+K35*Offer_Ladder!$E$16</f>
        <v>0.9525</v>
      </c>
      <c r="L36" s="0" t="n">
        <f aca="false">L33+L35*Offer_Ladder!$E$16</f>
        <v>0.975</v>
      </c>
      <c r="M36" s="0" t="n">
        <f aca="false">M33+M35*Offer_Ladder!$E$16</f>
        <v>0.9975</v>
      </c>
      <c r="N36" s="0" t="n">
        <f aca="false">SUM(B36:M36)</f>
        <v>10.485</v>
      </c>
    </row>
    <row r="37" customFormat="false" ht="15" hidden="false" customHeight="false" outlineLevel="0" collapsed="false">
      <c r="A37" s="0" t="s">
        <v>200</v>
      </c>
      <c r="B37" s="0" t="n">
        <f aca="false">B36*Offer_Ladder!$E$10</f>
        <v>6000</v>
      </c>
      <c r="C37" s="0" t="n">
        <f aca="false">C36*Offer_Ladder!$E$10</f>
        <v>6180</v>
      </c>
      <c r="D37" s="0" t="n">
        <f aca="false">D36*Offer_Ladder!$E$10</f>
        <v>6360</v>
      </c>
      <c r="E37" s="0" t="n">
        <f aca="false">E36*Offer_Ladder!$E$10</f>
        <v>6540</v>
      </c>
      <c r="F37" s="0" t="n">
        <f aca="false">F36*Offer_Ladder!$E$10</f>
        <v>6720</v>
      </c>
      <c r="G37" s="0" t="n">
        <f aca="false">G36*Offer_Ladder!$E$10</f>
        <v>6900</v>
      </c>
      <c r="H37" s="0" t="n">
        <f aca="false">H36*Offer_Ladder!$E$10</f>
        <v>7080</v>
      </c>
      <c r="I37" s="0" t="n">
        <f aca="false">I36*Offer_Ladder!$E$10</f>
        <v>7260</v>
      </c>
      <c r="J37" s="0" t="n">
        <f aca="false">J36*Offer_Ladder!$E$10</f>
        <v>7440</v>
      </c>
      <c r="K37" s="0" t="n">
        <f aca="false">K36*Offer_Ladder!$E$10</f>
        <v>7620</v>
      </c>
      <c r="L37" s="0" t="n">
        <f aca="false">L36*Offer_Ladder!$E$10</f>
        <v>7800</v>
      </c>
      <c r="M37" s="0" t="n">
        <f aca="false">M36*Offer_Ladder!$E$10</f>
        <v>7980</v>
      </c>
      <c r="N37" s="0" t="n">
        <f aca="false">SUM(B37:M37)</f>
        <v>83880</v>
      </c>
    </row>
    <row r="38" customFormat="false" ht="15" hidden="false" customHeight="false" outlineLevel="0" collapsed="false">
      <c r="A38" s="0" t="s">
        <v>201</v>
      </c>
      <c r="B38" s="0" t="n">
        <f aca="false">B36*Offer_Ladder!$E$14-B37*Inputs!$B$16*Inputs!$B$15</f>
        <v>4740</v>
      </c>
      <c r="C38" s="0" t="n">
        <f aca="false">C36*Offer_Ladder!$E$14-C37*Inputs!$B$16*Inputs!$B$15</f>
        <v>4882.2</v>
      </c>
      <c r="D38" s="0" t="n">
        <f aca="false">D36*Offer_Ladder!$E$14-D37*Inputs!$B$16*Inputs!$B$15</f>
        <v>5024.4</v>
      </c>
      <c r="E38" s="0" t="n">
        <f aca="false">E36*Offer_Ladder!$E$14-E37*Inputs!$B$16*Inputs!$B$15</f>
        <v>5166.6</v>
      </c>
      <c r="F38" s="0" t="n">
        <f aca="false">F36*Offer_Ladder!$E$14-F37*Inputs!$B$16*Inputs!$B$15</f>
        <v>5308.8</v>
      </c>
      <c r="G38" s="0" t="n">
        <f aca="false">G36*Offer_Ladder!$E$14-G37*Inputs!$B$16*Inputs!$B$15</f>
        <v>5451</v>
      </c>
      <c r="H38" s="0" t="n">
        <f aca="false">H36*Offer_Ladder!$E$14-H37*Inputs!$B$16*Inputs!$B$15</f>
        <v>5593.2</v>
      </c>
      <c r="I38" s="0" t="n">
        <f aca="false">I36*Offer_Ladder!$E$14-I37*Inputs!$B$16*Inputs!$B$15</f>
        <v>5735.4</v>
      </c>
      <c r="J38" s="0" t="n">
        <f aca="false">J36*Offer_Ladder!$E$14-J37*Inputs!$B$16*Inputs!$B$15</f>
        <v>5877.6</v>
      </c>
      <c r="K38" s="0" t="n">
        <f aca="false">K36*Offer_Ladder!$E$14-K37*Inputs!$B$16*Inputs!$B$15</f>
        <v>6019.8</v>
      </c>
      <c r="L38" s="0" t="n">
        <f aca="false">L36*Offer_Ladder!$E$14-L37*Inputs!$B$16*Inputs!$B$15</f>
        <v>6162</v>
      </c>
      <c r="M38" s="0" t="n">
        <f aca="false">M36*Offer_Ladder!$E$14-M37*Inputs!$B$16*Inputs!$B$15</f>
        <v>6304.2</v>
      </c>
      <c r="N38" s="0" t="n">
        <f aca="false">SUM(B38:M38)</f>
        <v>66265.2</v>
      </c>
    </row>
    <row r="39" customFormat="false" ht="15" hidden="false" customHeight="false" outlineLevel="0" collapsed="false">
      <c r="A39" s="0" t="s">
        <v>202</v>
      </c>
      <c r="B39" s="0" t="n">
        <f aca="false">Offer_Ladder!$E$17*B37</f>
        <v>6000</v>
      </c>
      <c r="C39" s="0" t="n">
        <f aca="false">Offer_Ladder!$E$17*C37+(1-Offer_Ladder!$E$17)*B37</f>
        <v>6180</v>
      </c>
      <c r="D39" s="0" t="n">
        <f aca="false">Offer_Ladder!$E$17*D37+(1-Offer_Ladder!$E$17)*C37</f>
        <v>6360</v>
      </c>
      <c r="E39" s="0" t="n">
        <f aca="false">Offer_Ladder!$E$17*E37+(1-Offer_Ladder!$E$17)*D37</f>
        <v>6540</v>
      </c>
      <c r="F39" s="0" t="n">
        <f aca="false">Offer_Ladder!$E$17*F37+(1-Offer_Ladder!$E$17)*E37</f>
        <v>6720</v>
      </c>
      <c r="G39" s="0" t="n">
        <f aca="false">Offer_Ladder!$E$17*G37+(1-Offer_Ladder!$E$17)*F37</f>
        <v>6900</v>
      </c>
      <c r="H39" s="0" t="n">
        <f aca="false">Offer_Ladder!$E$17*H37+(1-Offer_Ladder!$E$17)*G37</f>
        <v>7080</v>
      </c>
      <c r="I39" s="0" t="n">
        <f aca="false">Offer_Ladder!$E$17*I37+(1-Offer_Ladder!$E$17)*H37</f>
        <v>7260</v>
      </c>
      <c r="J39" s="0" t="n">
        <f aca="false">Offer_Ladder!$E$17*J37+(1-Offer_Ladder!$E$17)*I37</f>
        <v>7440</v>
      </c>
      <c r="K39" s="0" t="n">
        <f aca="false">Offer_Ladder!$E$17*K37+(1-Offer_Ladder!$E$17)*J37</f>
        <v>7620</v>
      </c>
      <c r="L39" s="0" t="n">
        <f aca="false">Offer_Ladder!$E$17*L37+(1-Offer_Ladder!$E$17)*K37</f>
        <v>7800</v>
      </c>
      <c r="M39" s="0" t="n">
        <f aca="false">Offer_Ladder!$E$17*M37+(1-Offer_Ladder!$E$17)*L37</f>
        <v>7980</v>
      </c>
      <c r="N39" s="0" t="n">
        <f aca="false">SUM(B39:M39)</f>
        <v>83880</v>
      </c>
    </row>
    <row r="40" customFormat="false" ht="15" hidden="false" customHeight="false" outlineLevel="0" collapsed="false">
      <c r="A40" s="0" t="s">
        <v>203</v>
      </c>
      <c r="B40" s="0" t="n">
        <f aca="false">B37-B38</f>
        <v>1260</v>
      </c>
      <c r="C40" s="0" t="n">
        <f aca="false">C37-C38</f>
        <v>1297.8</v>
      </c>
      <c r="D40" s="0" t="n">
        <f aca="false">D37-D38</f>
        <v>1335.6</v>
      </c>
      <c r="E40" s="0" t="n">
        <f aca="false">E37-E38</f>
        <v>1373.4</v>
      </c>
      <c r="F40" s="0" t="n">
        <f aca="false">F37-F38</f>
        <v>1411.2</v>
      </c>
      <c r="G40" s="0" t="n">
        <f aca="false">G37-G38</f>
        <v>1449</v>
      </c>
      <c r="H40" s="0" t="n">
        <f aca="false">H37-H38</f>
        <v>1486.8</v>
      </c>
      <c r="I40" s="0" t="n">
        <f aca="false">I37-I38</f>
        <v>1524.6</v>
      </c>
      <c r="J40" s="0" t="n">
        <f aca="false">J37-J38</f>
        <v>1562.4</v>
      </c>
      <c r="K40" s="0" t="n">
        <f aca="false">K37-K38</f>
        <v>1600.2</v>
      </c>
      <c r="L40" s="0" t="n">
        <f aca="false">L37-L38</f>
        <v>1638</v>
      </c>
      <c r="M40" s="0" t="n">
        <f aca="false">M37-M38</f>
        <v>1675.8</v>
      </c>
      <c r="N40" s="0" t="n">
        <f aca="false">SUM(B40:M40)</f>
        <v>17614.8</v>
      </c>
    </row>
    <row r="42" customFormat="false" ht="15" hidden="false" customHeight="false" outlineLevel="0" collapsed="false">
      <c r="A42" s="4" t="s">
        <v>159</v>
      </c>
    </row>
    <row r="43" customFormat="false" ht="15" hidden="false" customHeight="false" outlineLevel="0" collapsed="false">
      <c r="A43" s="0" t="s">
        <v>196</v>
      </c>
      <c r="B43" s="0" t="n">
        <f aca="false">B44*Inputs!$B$20</f>
        <v>0</v>
      </c>
      <c r="C43" s="0" t="n">
        <f aca="false">C44*Inputs!$B$20</f>
        <v>0</v>
      </c>
      <c r="D43" s="0" t="n">
        <f aca="false">D44*Inputs!$B$20</f>
        <v>0</v>
      </c>
      <c r="E43" s="0" t="n">
        <f aca="false">E44*Inputs!$B$20</f>
        <v>0</v>
      </c>
      <c r="F43" s="0" t="n">
        <f aca="false">F44*Inputs!$B$20</f>
        <v>0.75</v>
      </c>
      <c r="G43" s="0" t="n">
        <f aca="false">G44*Inputs!$B$20</f>
        <v>0</v>
      </c>
      <c r="H43" s="0" t="n">
        <f aca="false">H44*Inputs!$B$20</f>
        <v>0.75</v>
      </c>
      <c r="I43" s="0" t="n">
        <f aca="false">I44*Inputs!$B$20</f>
        <v>0</v>
      </c>
      <c r="J43" s="0" t="n">
        <f aca="false">J44*Inputs!$B$20</f>
        <v>0.75</v>
      </c>
      <c r="K43" s="0" t="n">
        <f aca="false">K44*Inputs!$B$20</f>
        <v>0</v>
      </c>
      <c r="L43" s="0" t="n">
        <f aca="false">L44*Inputs!$B$20</f>
        <v>0.75</v>
      </c>
      <c r="M43" s="0" t="n">
        <f aca="false">M44*Inputs!$B$20</f>
        <v>0</v>
      </c>
      <c r="N43" s="0" t="n">
        <f aca="false">SUM(B43:M43)</f>
        <v>3</v>
      </c>
    </row>
    <row r="44" customFormat="false" ht="15" hidden="false" customHeight="false" outlineLevel="0" collapsed="false">
      <c r="A44" s="0" t="s">
        <v>197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1</v>
      </c>
      <c r="G44" s="2" t="n">
        <v>0</v>
      </c>
      <c r="H44" s="2" t="n">
        <v>1</v>
      </c>
      <c r="I44" s="2" t="n">
        <v>0</v>
      </c>
      <c r="J44" s="2" t="n">
        <v>1</v>
      </c>
      <c r="K44" s="2" t="n">
        <v>0</v>
      </c>
      <c r="L44" s="2" t="n">
        <v>1</v>
      </c>
      <c r="M44" s="2" t="n">
        <v>0</v>
      </c>
    </row>
    <row r="45" customFormat="false" ht="15" hidden="false" customHeight="false" outlineLevel="0" collapsed="false">
      <c r="A45" s="0" t="s">
        <v>198</v>
      </c>
      <c r="B45" s="0" t="n">
        <v>0</v>
      </c>
      <c r="C45" s="0" t="n">
        <f aca="false">B45*Offer_Ladder!$F$16+B43</f>
        <v>0</v>
      </c>
      <c r="D45" s="0" t="n">
        <f aca="false">C45*Offer_Ladder!$F$16+C43</f>
        <v>0</v>
      </c>
      <c r="E45" s="0" t="n">
        <f aca="false">D45*Offer_Ladder!$F$16+D43</f>
        <v>0</v>
      </c>
      <c r="F45" s="0" t="n">
        <f aca="false">E45*Offer_Ladder!$F$16+E43</f>
        <v>0</v>
      </c>
      <c r="G45" s="0" t="n">
        <f aca="false">F45*Offer_Ladder!$F$16+F43</f>
        <v>0.75</v>
      </c>
      <c r="H45" s="0" t="n">
        <f aca="false">G45*Offer_Ladder!$F$16+G43</f>
        <v>0.69</v>
      </c>
      <c r="I45" s="0" t="n">
        <f aca="false">H45*Offer_Ladder!$F$16+H43</f>
        <v>1.3848</v>
      </c>
      <c r="J45" s="0" t="n">
        <f aca="false">I45*Offer_Ladder!$F$16+I43</f>
        <v>1.274016</v>
      </c>
      <c r="K45" s="0" t="n">
        <f aca="false">J45*Offer_Ladder!$F$16+J43</f>
        <v>1.92209472</v>
      </c>
      <c r="L45" s="0" t="n">
        <f aca="false">K45*Offer_Ladder!$F$16+K43</f>
        <v>1.7683271424</v>
      </c>
      <c r="M45" s="0" t="n">
        <f aca="false">L45*Offer_Ladder!$F$16+L43</f>
        <v>2.376860971008</v>
      </c>
    </row>
    <row r="46" customFormat="false" ht="15" hidden="false" customHeight="false" outlineLevel="0" collapsed="false">
      <c r="A46" s="0" t="s">
        <v>199</v>
      </c>
      <c r="B46" s="0" t="n">
        <f aca="false">B45+B43</f>
        <v>0</v>
      </c>
      <c r="C46" s="0" t="n">
        <f aca="false">C45+C43</f>
        <v>0</v>
      </c>
      <c r="D46" s="0" t="n">
        <f aca="false">D45+D43</f>
        <v>0</v>
      </c>
      <c r="E46" s="0" t="n">
        <f aca="false">E45+E43</f>
        <v>0</v>
      </c>
      <c r="F46" s="0" t="n">
        <f aca="false">F45+F43</f>
        <v>0.75</v>
      </c>
      <c r="G46" s="0" t="n">
        <f aca="false">G45+G43</f>
        <v>0.75</v>
      </c>
      <c r="H46" s="0" t="n">
        <f aca="false">H45+H43</f>
        <v>1.44</v>
      </c>
      <c r="I46" s="0" t="n">
        <f aca="false">I45+I43</f>
        <v>1.3848</v>
      </c>
      <c r="J46" s="0" t="n">
        <f aca="false">J45+J43</f>
        <v>2.024016</v>
      </c>
      <c r="K46" s="0" t="n">
        <f aca="false">K45+K43</f>
        <v>1.92209472</v>
      </c>
      <c r="L46" s="0" t="n">
        <f aca="false">L45+L43</f>
        <v>2.5183271424</v>
      </c>
      <c r="M46" s="0" t="n">
        <f aca="false">M45+M43</f>
        <v>2.376860971008</v>
      </c>
      <c r="N46" s="0" t="n">
        <f aca="false">SUM(B46:M46)</f>
        <v>13.166098833408</v>
      </c>
    </row>
    <row r="47" customFormat="false" ht="15" hidden="false" customHeight="false" outlineLevel="0" collapsed="false">
      <c r="A47" s="0" t="s">
        <v>200</v>
      </c>
      <c r="B47" s="0" t="n">
        <f aca="false">B46*Offer_Ladder!$F$10</f>
        <v>0</v>
      </c>
      <c r="C47" s="0" t="n">
        <f aca="false">C46*Offer_Ladder!$F$10</f>
        <v>0</v>
      </c>
      <c r="D47" s="0" t="n">
        <f aca="false">D46*Offer_Ladder!$F$10</f>
        <v>0</v>
      </c>
      <c r="E47" s="0" t="n">
        <f aca="false">E46*Offer_Ladder!$F$10</f>
        <v>0</v>
      </c>
      <c r="F47" s="0" t="n">
        <f aca="false">F46*Offer_Ladder!$F$10</f>
        <v>15750</v>
      </c>
      <c r="G47" s="0" t="n">
        <f aca="false">G46*Offer_Ladder!$F$10</f>
        <v>15750</v>
      </c>
      <c r="H47" s="0" t="n">
        <f aca="false">H46*Offer_Ladder!$F$10</f>
        <v>30240</v>
      </c>
      <c r="I47" s="0" t="n">
        <f aca="false">I46*Offer_Ladder!$F$10</f>
        <v>29080.8</v>
      </c>
      <c r="J47" s="0" t="n">
        <f aca="false">J46*Offer_Ladder!$F$10</f>
        <v>42504.336</v>
      </c>
      <c r="K47" s="0" t="n">
        <f aca="false">K46*Offer_Ladder!$F$10</f>
        <v>40363.98912</v>
      </c>
      <c r="L47" s="0" t="n">
        <f aca="false">L46*Offer_Ladder!$F$10</f>
        <v>52884.8699904</v>
      </c>
      <c r="M47" s="0" t="n">
        <f aca="false">M46*Offer_Ladder!$F$10</f>
        <v>49914.080391168</v>
      </c>
      <c r="N47" s="0" t="n">
        <f aca="false">SUM(B47:M47)</f>
        <v>276488.075501568</v>
      </c>
    </row>
    <row r="48" customFormat="false" ht="15" hidden="false" customHeight="false" outlineLevel="0" collapsed="false">
      <c r="A48" s="0" t="s">
        <v>201</v>
      </c>
      <c r="B48" s="0" t="n">
        <f aca="false">B46*Offer_Ladder!$F$14-B47*Inputs!$B$16*Inputs!$B$15</f>
        <v>0</v>
      </c>
      <c r="C48" s="0" t="n">
        <f aca="false">C46*Offer_Ladder!$F$14-C47*Inputs!$B$16*Inputs!$B$15</f>
        <v>0</v>
      </c>
      <c r="D48" s="0" t="n">
        <f aca="false">D46*Offer_Ladder!$F$14-D47*Inputs!$B$16*Inputs!$B$15</f>
        <v>0</v>
      </c>
      <c r="E48" s="0" t="n">
        <f aca="false">E46*Offer_Ladder!$F$14-E47*Inputs!$B$16*Inputs!$B$15</f>
        <v>0</v>
      </c>
      <c r="F48" s="0" t="n">
        <f aca="false">F46*Offer_Ladder!$F$14-F47*Inputs!$B$16*Inputs!$B$15</f>
        <v>3910.134</v>
      </c>
      <c r="G48" s="0" t="n">
        <f aca="false">G46*Offer_Ladder!$F$14-G47*Inputs!$B$16*Inputs!$B$15</f>
        <v>3910.134</v>
      </c>
      <c r="H48" s="0" t="n">
        <f aca="false">H46*Offer_Ladder!$F$14-H47*Inputs!$B$16*Inputs!$B$15</f>
        <v>7507.45728</v>
      </c>
      <c r="I48" s="0" t="n">
        <f aca="false">I46*Offer_Ladder!$F$14-I47*Inputs!$B$16*Inputs!$B$15</f>
        <v>7219.6714176</v>
      </c>
      <c r="J48" s="0" t="n">
        <f aca="false">J46*Offer_Ladder!$F$14-J47*Inputs!$B$16*Inputs!$B$15</f>
        <v>10552.231704192</v>
      </c>
      <c r="K48" s="0" t="n">
        <f aca="false">K46*Offer_Ladder!$F$14-K47*Inputs!$B$16*Inputs!$B$15</f>
        <v>10020.8638878566</v>
      </c>
      <c r="L48" s="0" t="n">
        <f aca="false">L46*Offer_Ladder!$F$14-L47*Inputs!$B$16*Inputs!$B$15</f>
        <v>13129.3287768281</v>
      </c>
      <c r="M48" s="0" t="n">
        <f aca="false">M46*Offer_Ladder!$F$14-M47*Inputs!$B$16*Inputs!$B$15</f>
        <v>12391.7931946819</v>
      </c>
      <c r="N48" s="0" t="n">
        <f aca="false">SUM(B48:M48)</f>
        <v>68641.6142611586</v>
      </c>
    </row>
    <row r="49" customFormat="false" ht="15" hidden="false" customHeight="false" outlineLevel="0" collapsed="false">
      <c r="A49" s="0" t="s">
        <v>202</v>
      </c>
      <c r="B49" s="0" t="n">
        <f aca="false">Offer_Ladder!$F$17*B47</f>
        <v>0</v>
      </c>
      <c r="C49" s="0" t="n">
        <f aca="false">Offer_Ladder!$F$17*C47+(1-Offer_Ladder!$F$17)*B47</f>
        <v>0</v>
      </c>
      <c r="D49" s="0" t="n">
        <f aca="false">Offer_Ladder!$F$17*D47+(1-Offer_Ladder!$F$17)*C47</f>
        <v>0</v>
      </c>
      <c r="E49" s="0" t="n">
        <f aca="false">Offer_Ladder!$F$17*E47+(1-Offer_Ladder!$F$17)*D47</f>
        <v>0</v>
      </c>
      <c r="F49" s="0" t="n">
        <f aca="false">Offer_Ladder!$F$17*F47+(1-Offer_Ladder!$F$17)*E47</f>
        <v>15750</v>
      </c>
      <c r="G49" s="0" t="n">
        <f aca="false">Offer_Ladder!$F$17*G47+(1-Offer_Ladder!$F$17)*F47</f>
        <v>15750</v>
      </c>
      <c r="H49" s="0" t="n">
        <f aca="false">Offer_Ladder!$F$17*H47+(1-Offer_Ladder!$F$17)*G47</f>
        <v>30240</v>
      </c>
      <c r="I49" s="0" t="n">
        <f aca="false">Offer_Ladder!$F$17*I47+(1-Offer_Ladder!$F$17)*H47</f>
        <v>29080.8</v>
      </c>
      <c r="J49" s="0" t="n">
        <f aca="false">Offer_Ladder!$F$17*J47+(1-Offer_Ladder!$F$17)*I47</f>
        <v>42504.336</v>
      </c>
      <c r="K49" s="0" t="n">
        <f aca="false">Offer_Ladder!$F$17*K47+(1-Offer_Ladder!$F$17)*J47</f>
        <v>40363.98912</v>
      </c>
      <c r="L49" s="0" t="n">
        <f aca="false">Offer_Ladder!$F$17*L47+(1-Offer_Ladder!$F$17)*K47</f>
        <v>52884.8699904</v>
      </c>
      <c r="M49" s="0" t="n">
        <f aca="false">Offer_Ladder!$F$17*M47+(1-Offer_Ladder!$F$17)*L47</f>
        <v>49914.080391168</v>
      </c>
      <c r="N49" s="0" t="n">
        <f aca="false">SUM(B49:M49)</f>
        <v>276488.075501568</v>
      </c>
    </row>
    <row r="50" customFormat="false" ht="15" hidden="false" customHeight="false" outlineLevel="0" collapsed="false">
      <c r="A50" s="0" t="s">
        <v>203</v>
      </c>
      <c r="B50" s="0" t="n">
        <f aca="false">B47-B48</f>
        <v>0</v>
      </c>
      <c r="C50" s="0" t="n">
        <f aca="false">C47-C48</f>
        <v>0</v>
      </c>
      <c r="D50" s="0" t="n">
        <f aca="false">D47-D48</f>
        <v>0</v>
      </c>
      <c r="E50" s="0" t="n">
        <f aca="false">E47-E48</f>
        <v>0</v>
      </c>
      <c r="F50" s="0" t="n">
        <f aca="false">F47-F48</f>
        <v>11839.866</v>
      </c>
      <c r="G50" s="0" t="n">
        <f aca="false">G47-G48</f>
        <v>11839.866</v>
      </c>
      <c r="H50" s="0" t="n">
        <f aca="false">H47-H48</f>
        <v>22732.54272</v>
      </c>
      <c r="I50" s="0" t="n">
        <f aca="false">I47-I48</f>
        <v>21861.1285824</v>
      </c>
      <c r="J50" s="0" t="n">
        <f aca="false">J47-J48</f>
        <v>31952.104295808</v>
      </c>
      <c r="K50" s="0" t="n">
        <f aca="false">K47-K48</f>
        <v>30343.1252321434</v>
      </c>
      <c r="L50" s="0" t="n">
        <f aca="false">L47-L48</f>
        <v>39755.5412135719</v>
      </c>
      <c r="M50" s="0" t="n">
        <f aca="false">M47-M48</f>
        <v>37522.2871964861</v>
      </c>
      <c r="N50" s="0" t="n">
        <f aca="false">SUM(B50:M50)</f>
        <v>207846.461240409</v>
      </c>
    </row>
    <row r="52" customFormat="false" ht="15" hidden="false" customHeight="false" outlineLevel="0" collapsed="false">
      <c r="A52" s="4" t="s">
        <v>204</v>
      </c>
    </row>
    <row r="53" customFormat="false" ht="15" hidden="false" customHeight="false" outlineLevel="0" collapsed="false">
      <c r="A53" s="0" t="s">
        <v>205</v>
      </c>
      <c r="B53" s="0" t="n">
        <f aca="false">B3+B13+B23+B33+B43</f>
        <v>0.75</v>
      </c>
      <c r="C53" s="0" t="n">
        <f aca="false">C3+C13+C23+C33+C43</f>
        <v>3</v>
      </c>
      <c r="D53" s="0" t="n">
        <f aca="false">D3+D13+D23+D33+D43</f>
        <v>3.75</v>
      </c>
      <c r="E53" s="0" t="n">
        <f aca="false">E3+E13+E23+E33+E43</f>
        <v>5.25</v>
      </c>
      <c r="F53" s="0" t="n">
        <f aca="false">F3+F13+F23+F33+F43</f>
        <v>6</v>
      </c>
      <c r="G53" s="0" t="n">
        <f aca="false">G3+G13+G23+G33+G43</f>
        <v>6.75</v>
      </c>
      <c r="H53" s="0" t="n">
        <f aca="false">H3+H13+H23+H33+H43</f>
        <v>6.75</v>
      </c>
      <c r="I53" s="0" t="n">
        <f aca="false">I3+I13+I23+I33+I43</f>
        <v>7.5</v>
      </c>
      <c r="J53" s="0" t="n">
        <f aca="false">J3+J13+J23+J33+J43</f>
        <v>9</v>
      </c>
      <c r="K53" s="0" t="n">
        <f aca="false">K3+K13+K23+K33+K43</f>
        <v>7.5</v>
      </c>
      <c r="L53" s="0" t="n">
        <f aca="false">L3+L13+L23+L33+L43</f>
        <v>9.75</v>
      </c>
      <c r="M53" s="0" t="n">
        <f aca="false">M3+M13+M23+M33+M43</f>
        <v>9</v>
      </c>
      <c r="N53" s="0" t="n">
        <f aca="false">N3+N13+N23+N33+N43</f>
        <v>75</v>
      </c>
    </row>
    <row r="54" customFormat="false" ht="15" hidden="false" customHeight="false" outlineLevel="0" collapsed="false">
      <c r="A54" s="0" t="s">
        <v>206</v>
      </c>
      <c r="B54" s="0" t="n">
        <f aca="false">B6+B16+B26+B36+B46</f>
        <v>0.75</v>
      </c>
      <c r="C54" s="0" t="n">
        <f aca="false">C6+C16+C26+C36+C46</f>
        <v>3.0225</v>
      </c>
      <c r="D54" s="0" t="n">
        <f aca="false">D6+D16+D26+D36+D46</f>
        <v>4.2825</v>
      </c>
      <c r="E54" s="0" t="n">
        <f aca="false">E6+E16+E26+E36+E46</f>
        <v>6.48</v>
      </c>
      <c r="F54" s="0" t="n">
        <f aca="false">F6+F16+F26+F36+F46</f>
        <v>8.205</v>
      </c>
      <c r="G54" s="0" t="n">
        <f aca="false">G6+G16+G26+G36+G46</f>
        <v>10.7025</v>
      </c>
      <c r="H54" s="0" t="n">
        <f aca="false">H6+H16+H26+H36+H46</f>
        <v>11.9175</v>
      </c>
      <c r="I54" s="0" t="n">
        <f aca="false">I6+I16+I26+I36+I46</f>
        <v>14.5473</v>
      </c>
      <c r="J54" s="0" t="n">
        <f aca="false">J6+J16+J26+J36+J46</f>
        <v>17.399016</v>
      </c>
      <c r="K54" s="0" t="n">
        <f aca="false">K6+K16+K26+K36+K46</f>
        <v>18.12209472</v>
      </c>
      <c r="L54" s="0" t="n">
        <f aca="false">L6+L16+L26+L36+L46</f>
        <v>21.7033271424</v>
      </c>
      <c r="M54" s="0" t="n">
        <f aca="false">M6+M16+M26+M36+M46</f>
        <v>23.324360971008</v>
      </c>
      <c r="N54" s="0" t="n">
        <f aca="false">N6+N16+N26+N36+N46</f>
        <v>140.456098833408</v>
      </c>
    </row>
    <row r="55" customFormat="false" ht="15" hidden="false" customHeight="false" outlineLevel="0" collapsed="false">
      <c r="A55" s="0" t="s">
        <v>207</v>
      </c>
      <c r="B55" s="0" t="n">
        <f aca="false">B7+B17+B27+B37+B47</f>
        <v>6000</v>
      </c>
      <c r="C55" s="0" t="n">
        <f aca="false">C7+C17+C27+C37+C47</f>
        <v>42930</v>
      </c>
      <c r="D55" s="0" t="n">
        <f aca="false">D7+D17+D27+D37+D47</f>
        <v>57172.5</v>
      </c>
      <c r="E55" s="0" t="n">
        <f aca="false">E7+E17+E27+E37+E47</f>
        <v>115646.25</v>
      </c>
      <c r="F55" s="0" t="n">
        <f aca="false">F7+F17+F27+F37+F47</f>
        <v>127220.25</v>
      </c>
      <c r="G55" s="0" t="n">
        <f aca="false">G7+G17+G27+G37+G47</f>
        <v>190850.25</v>
      </c>
      <c r="H55" s="0" t="n">
        <f aca="false">H7+H17+H27+H37+H47</f>
        <v>183820.5</v>
      </c>
      <c r="I55" s="0" t="n">
        <f aca="false">I7+I17+I27+I37+I47</f>
        <v>248072.55</v>
      </c>
      <c r="J55" s="0" t="n">
        <f aca="false">J7+J17+J27+J37+J47</f>
        <v>306707.586</v>
      </c>
      <c r="K55" s="0" t="n">
        <f aca="false">K7+K17+K27+K37+K47</f>
        <v>288203.73912</v>
      </c>
      <c r="L55" s="0" t="n">
        <f aca="false">L7+L17+L27+L37+L47</f>
        <v>371292.1199904</v>
      </c>
      <c r="M55" s="0" t="n">
        <f aca="false">M7+M17+M27+M37+M47</f>
        <v>396189.080391168</v>
      </c>
      <c r="N55" s="0" t="n">
        <f aca="false">N7+N17+N27+N37+N47</f>
        <v>2334104.82550157</v>
      </c>
    </row>
    <row r="56" customFormat="false" ht="15" hidden="false" customHeight="false" outlineLevel="0" collapsed="false">
      <c r="A56" s="0" t="s">
        <v>208</v>
      </c>
      <c r="B56" s="0" t="n">
        <f aca="false">B8+B18+B28+B38+B48</f>
        <v>4740</v>
      </c>
      <c r="C56" s="0" t="n">
        <f aca="false">C8+C18+C28+C38+C48</f>
        <v>17378.6545599192</v>
      </c>
      <c r="D56" s="0" t="n">
        <f aca="false">D8+D18+D28+D38+D48</f>
        <v>22678.9457439071</v>
      </c>
      <c r="E56" s="0" t="n">
        <f aca="false">E8+E18+E28+E38+E48</f>
        <v>32011.625052895</v>
      </c>
      <c r="F56" s="0" t="n">
        <f aca="false">F8+F18+F28+F38+F48</f>
        <v>43931.119546802</v>
      </c>
      <c r="G56" s="0" t="n">
        <f aca="false">G8+G18+G28+G38+G48</f>
        <v>55001.4494147778</v>
      </c>
      <c r="H56" s="0" t="n">
        <f aca="false">H8+H18+H28+H38+H48</f>
        <v>61322.0341877536</v>
      </c>
      <c r="I56" s="0" t="n">
        <f aca="false">I8+I18+I28+I38+I48</f>
        <v>72788.6663183293</v>
      </c>
      <c r="J56" s="0" t="n">
        <f aca="false">J8+J18+J28+J38+J48</f>
        <v>89900.6257828163</v>
      </c>
      <c r="K56" s="0" t="n">
        <f aca="false">K8+K18+K28+K38+K48</f>
        <v>93830.1700184446</v>
      </c>
      <c r="L56" s="0" t="n">
        <f aca="false">L8+L18+L28+L38+L48</f>
        <v>110430.70345938</v>
      </c>
      <c r="M56" s="0" t="n">
        <f aca="false">M8+M18+M28+M38+M48</f>
        <v>118186.468054197</v>
      </c>
      <c r="N56" s="0" t="n">
        <f aca="false">N8+N18+N28+N38+N48</f>
        <v>722200.462139222</v>
      </c>
    </row>
    <row r="57" customFormat="false" ht="15" hidden="false" customHeight="false" outlineLevel="0" collapsed="false">
      <c r="A57" s="0" t="s">
        <v>209</v>
      </c>
      <c r="B57" s="0" t="n">
        <f aca="false">B9+B19+B29+B39+B49</f>
        <v>6000</v>
      </c>
      <c r="C57" s="0" t="n">
        <f aca="false">C9+C19+C29+C39+C49</f>
        <v>31680</v>
      </c>
      <c r="D57" s="0" t="n">
        <f aca="false">D9+D19+D29+D39+D49</f>
        <v>55485</v>
      </c>
      <c r="E57" s="0" t="n">
        <f aca="false">E9+E19+E29+E39+E49</f>
        <v>92733.75</v>
      </c>
      <c r="F57" s="0" t="n">
        <f aca="false">F9+F19+F29+F39+F49</f>
        <v>132960.75</v>
      </c>
      <c r="G57" s="0" t="n">
        <f aca="false">G9+G19+G29+G39+G49</f>
        <v>166250.25</v>
      </c>
      <c r="H57" s="0" t="n">
        <f aca="false">H9+H19+H29+H39+H49</f>
        <v>199123.5</v>
      </c>
      <c r="I57" s="0" t="n">
        <f aca="false">I9+I19+I29+I39+I49</f>
        <v>223472.55</v>
      </c>
      <c r="J57" s="0" t="n">
        <f aca="false">J9+J19+J29+J39+J49</f>
        <v>289535.586</v>
      </c>
      <c r="K57" s="0" t="n">
        <f aca="false">K9+K19+K29+K39+K49</f>
        <v>301819.23912</v>
      </c>
      <c r="L57" s="0" t="n">
        <f aca="false">L9+L19+L29+L39+L49</f>
        <v>345004.6199904</v>
      </c>
      <c r="M57" s="0" t="n">
        <f aca="false">M9+M19+M29+M39+M49</f>
        <v>388579.580391168</v>
      </c>
      <c r="N57" s="0" t="n">
        <f aca="false">N9+N19+N29+N39+N49</f>
        <v>2232644.82550157</v>
      </c>
    </row>
    <row r="58" customFormat="false" ht="15" hidden="false" customHeight="false" outlineLevel="0" collapsed="false">
      <c r="A58" s="0" t="s">
        <v>210</v>
      </c>
      <c r="B58" s="0" t="n">
        <f aca="false">B10+B20+B30+B40+B50</f>
        <v>1260</v>
      </c>
      <c r="C58" s="0" t="n">
        <f aca="false">C10+C20+C30+C40+C50</f>
        <v>25551.3454400808</v>
      </c>
      <c r="D58" s="0" t="n">
        <f aca="false">D10+D20+D30+D40+D50</f>
        <v>34493.5542560929</v>
      </c>
      <c r="E58" s="0" t="n">
        <f aca="false">E10+E20+E30+E40+E50</f>
        <v>83634.624947105</v>
      </c>
      <c r="F58" s="0" t="n">
        <f aca="false">F10+F20+F30+F40+F50</f>
        <v>83289.130453198</v>
      </c>
      <c r="G58" s="0" t="n">
        <f aca="false">G10+G20+G30+G40+G50</f>
        <v>135848.800585222</v>
      </c>
      <c r="H58" s="0" t="n">
        <f aca="false">H10+H20+H30+H40+H50</f>
        <v>122498.465812246</v>
      </c>
      <c r="I58" s="0" t="n">
        <f aca="false">I10+I20+I30+I40+I50</f>
        <v>175283.883681671</v>
      </c>
      <c r="J58" s="0" t="n">
        <f aca="false">J10+J20+J30+J40+J50</f>
        <v>216806.960217184</v>
      </c>
      <c r="K58" s="0" t="n">
        <f aca="false">K10+K20+K30+K40+K50</f>
        <v>194373.569101555</v>
      </c>
      <c r="L58" s="0" t="n">
        <f aca="false">L10+L20+L30+L40+L50</f>
        <v>260861.41653102</v>
      </c>
      <c r="M58" s="0" t="n">
        <f aca="false">M10+M20+M30+M40+M50</f>
        <v>278002.612336971</v>
      </c>
      <c r="N58" s="0" t="n">
        <f aca="false">N10+N20+N30+N40+N50</f>
        <v>1611904.36336235</v>
      </c>
    </row>
    <row r="59" customFormat="false" ht="15" hidden="false" customHeight="false" outlineLevel="0" collapsed="false">
      <c r="A59" s="4" t="s">
        <v>211</v>
      </c>
    </row>
    <row r="60" customFormat="false" ht="15" hidden="false" customHeight="false" outlineLevel="0" collapsed="false">
      <c r="A60" s="0" t="s">
        <v>212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8000</v>
      </c>
      <c r="G60" s="2" t="n">
        <v>8000</v>
      </c>
      <c r="H60" s="2" t="n">
        <v>8000</v>
      </c>
      <c r="I60" s="2" t="n">
        <v>8000</v>
      </c>
      <c r="J60" s="2" t="n">
        <v>8000</v>
      </c>
      <c r="K60" s="2" t="n">
        <v>8000</v>
      </c>
      <c r="L60" s="2" t="n">
        <v>8000</v>
      </c>
      <c r="M60" s="2" t="n">
        <v>8000</v>
      </c>
      <c r="N60" s="3" t="n">
        <f aca="false">SUM(B60:M60)</f>
        <v>64000</v>
      </c>
    </row>
    <row r="61" customFormat="false" ht="15" hidden="false" customHeight="false" outlineLevel="0" collapsed="false">
      <c r="A61" s="0" t="s">
        <v>213</v>
      </c>
      <c r="B61" s="2" t="n">
        <v>2000</v>
      </c>
      <c r="C61" s="2" t="n">
        <v>2000</v>
      </c>
      <c r="D61" s="2" t="n">
        <v>2000</v>
      </c>
      <c r="E61" s="2" t="n">
        <v>2000</v>
      </c>
      <c r="F61" s="2" t="n">
        <v>3000</v>
      </c>
      <c r="G61" s="2" t="n">
        <v>3000</v>
      </c>
      <c r="H61" s="2" t="n">
        <v>3000</v>
      </c>
      <c r="I61" s="2" t="n">
        <v>3000</v>
      </c>
      <c r="J61" s="2" t="n">
        <v>3000</v>
      </c>
      <c r="K61" s="2" t="n">
        <v>3000</v>
      </c>
      <c r="L61" s="2" t="n">
        <v>3000</v>
      </c>
      <c r="M61" s="2" t="n">
        <v>3000</v>
      </c>
      <c r="N61" s="3" t="n">
        <f aca="false">SUM(B61:M61)</f>
        <v>32000</v>
      </c>
    </row>
    <row r="62" customFormat="false" ht="15" hidden="false" customHeight="false" outlineLevel="0" collapsed="false">
      <c r="A62" s="0" t="s">
        <v>214</v>
      </c>
      <c r="B62" s="2" t="n">
        <v>2000</v>
      </c>
      <c r="C62" s="2" t="n">
        <v>2000</v>
      </c>
      <c r="D62" s="2" t="n">
        <v>2000</v>
      </c>
      <c r="E62" s="2" t="n">
        <v>2000</v>
      </c>
      <c r="F62" s="2" t="n">
        <v>2000</v>
      </c>
      <c r="G62" s="2" t="n">
        <v>2000</v>
      </c>
      <c r="H62" s="2" t="n">
        <v>2000</v>
      </c>
      <c r="I62" s="2" t="n">
        <v>2000</v>
      </c>
      <c r="J62" s="2" t="n">
        <v>2000</v>
      </c>
      <c r="K62" s="2" t="n">
        <v>2000</v>
      </c>
      <c r="L62" s="2" t="n">
        <v>2000</v>
      </c>
      <c r="M62" s="2" t="n">
        <v>2000</v>
      </c>
      <c r="N62" s="3" t="n">
        <f aca="false">SUM(B62:M62)</f>
        <v>24000</v>
      </c>
    </row>
    <row r="63" customFormat="false" ht="15" hidden="false" customHeight="false" outlineLevel="0" collapsed="false">
      <c r="A63" s="0" t="s">
        <v>215</v>
      </c>
      <c r="B63" s="2" t="n">
        <v>7000</v>
      </c>
      <c r="C63" s="2" t="n">
        <v>7000</v>
      </c>
      <c r="D63" s="2" t="n">
        <v>7000</v>
      </c>
      <c r="E63" s="2" t="n">
        <v>7000</v>
      </c>
      <c r="F63" s="2" t="n">
        <v>7000</v>
      </c>
      <c r="G63" s="2" t="n">
        <v>7000</v>
      </c>
      <c r="H63" s="2" t="n">
        <v>7000</v>
      </c>
      <c r="I63" s="2" t="n">
        <v>7000</v>
      </c>
      <c r="J63" s="2" t="n">
        <v>7000</v>
      </c>
      <c r="K63" s="2" t="n">
        <v>7000</v>
      </c>
      <c r="L63" s="2" t="n">
        <v>7000</v>
      </c>
      <c r="M63" s="2" t="n">
        <v>7000</v>
      </c>
      <c r="N63" s="3" t="n">
        <f aca="false">SUM(B63:M63)</f>
        <v>84000</v>
      </c>
    </row>
    <row r="64" customFormat="false" ht="15" hidden="false" customHeight="false" outlineLevel="0" collapsed="false">
      <c r="A64" s="0" t="s">
        <v>216</v>
      </c>
      <c r="B64" s="2" t="n">
        <v>1500</v>
      </c>
      <c r="C64" s="2" t="n">
        <v>1500</v>
      </c>
      <c r="D64" s="2" t="n">
        <v>1500</v>
      </c>
      <c r="E64" s="2" t="n">
        <v>1500</v>
      </c>
      <c r="F64" s="2" t="n">
        <v>1500</v>
      </c>
      <c r="G64" s="2" t="n">
        <v>1500</v>
      </c>
      <c r="H64" s="2" t="n">
        <v>1500</v>
      </c>
      <c r="I64" s="2" t="n">
        <v>1500</v>
      </c>
      <c r="J64" s="2" t="n">
        <v>1500</v>
      </c>
      <c r="K64" s="2" t="n">
        <v>1500</v>
      </c>
      <c r="L64" s="2" t="n">
        <v>1500</v>
      </c>
      <c r="M64" s="2" t="n">
        <v>1500</v>
      </c>
      <c r="N64" s="3" t="n">
        <f aca="false">SUM(B64:M64)</f>
        <v>18000</v>
      </c>
    </row>
    <row r="65" customFormat="false" ht="15" hidden="false" customHeight="false" outlineLevel="0" collapsed="false">
      <c r="A65" s="0" t="s">
        <v>217</v>
      </c>
      <c r="B65" s="2" t="n">
        <v>3000</v>
      </c>
      <c r="C65" s="2" t="n">
        <v>3000</v>
      </c>
      <c r="D65" s="2" t="n">
        <v>3000</v>
      </c>
      <c r="E65" s="2" t="n">
        <v>3000</v>
      </c>
      <c r="F65" s="2" t="n">
        <v>3000</v>
      </c>
      <c r="G65" s="2" t="n">
        <v>3000</v>
      </c>
      <c r="H65" s="2" t="n">
        <v>3000</v>
      </c>
      <c r="I65" s="2" t="n">
        <v>3000</v>
      </c>
      <c r="J65" s="2" t="n">
        <v>3000</v>
      </c>
      <c r="K65" s="2" t="n">
        <v>3000</v>
      </c>
      <c r="L65" s="2" t="n">
        <v>3000</v>
      </c>
      <c r="M65" s="2" t="n">
        <v>3000</v>
      </c>
      <c r="N65" s="3" t="n">
        <f aca="false">SUM(B65:M65)</f>
        <v>36000</v>
      </c>
    </row>
    <row r="66" customFormat="false" ht="15" hidden="false" customHeight="false" outlineLevel="0" collapsed="false">
      <c r="A66" s="0" t="s">
        <v>218</v>
      </c>
      <c r="B66" s="2" t="n">
        <v>2500</v>
      </c>
      <c r="C66" s="2" t="n">
        <v>2500</v>
      </c>
      <c r="D66" s="2" t="n">
        <v>2500</v>
      </c>
      <c r="E66" s="2" t="n">
        <v>2500</v>
      </c>
      <c r="F66" s="2" t="n">
        <v>2500</v>
      </c>
      <c r="G66" s="2" t="n">
        <v>2500</v>
      </c>
      <c r="H66" s="2" t="n">
        <v>2500</v>
      </c>
      <c r="I66" s="2" t="n">
        <v>2500</v>
      </c>
      <c r="J66" s="2" t="n">
        <v>2500</v>
      </c>
      <c r="K66" s="2" t="n">
        <v>2500</v>
      </c>
      <c r="L66" s="2" t="n">
        <v>2500</v>
      </c>
      <c r="M66" s="2" t="n">
        <v>2500</v>
      </c>
      <c r="N66" s="3" t="n">
        <f aca="false">SUM(B66:M66)</f>
        <v>30000</v>
      </c>
    </row>
    <row r="67" customFormat="false" ht="15" hidden="false" customHeight="false" outlineLevel="0" collapsed="false">
      <c r="A67" s="0" t="s">
        <v>219</v>
      </c>
      <c r="B67" s="0" t="n">
        <f aca="false">SUM(B60:B66)</f>
        <v>18000</v>
      </c>
      <c r="C67" s="0" t="n">
        <f aca="false">SUM(C60:C66)</f>
        <v>18000</v>
      </c>
      <c r="D67" s="0" t="n">
        <f aca="false">SUM(D60:D66)</f>
        <v>18000</v>
      </c>
      <c r="E67" s="0" t="n">
        <f aca="false">SUM(E60:E66)</f>
        <v>18000</v>
      </c>
      <c r="F67" s="0" t="n">
        <f aca="false">SUM(F60:F66)</f>
        <v>27000</v>
      </c>
      <c r="G67" s="0" t="n">
        <f aca="false">SUM(G60:G66)</f>
        <v>27000</v>
      </c>
      <c r="H67" s="0" t="n">
        <f aca="false">SUM(H60:H66)</f>
        <v>27000</v>
      </c>
      <c r="I67" s="0" t="n">
        <f aca="false">SUM(I60:I66)</f>
        <v>27000</v>
      </c>
      <c r="J67" s="0" t="n">
        <f aca="false">SUM(J60:J66)</f>
        <v>27000</v>
      </c>
      <c r="K67" s="0" t="n">
        <f aca="false">SUM(K60:K66)</f>
        <v>27000</v>
      </c>
      <c r="L67" s="0" t="n">
        <f aca="false">SUM(L60:L66)</f>
        <v>27000</v>
      </c>
      <c r="M67" s="0" t="n">
        <f aca="false">SUM(M60:M66)</f>
        <v>27000</v>
      </c>
      <c r="N67" s="0" t="n">
        <f aca="false">SUM(N60:N66)</f>
        <v>288000</v>
      </c>
    </row>
    <row r="68" customFormat="false" ht="15" hidden="false" customHeight="false" outlineLevel="0" collapsed="false">
      <c r="A68" s="0" t="s">
        <v>220</v>
      </c>
      <c r="B68" s="0" t="n">
        <f aca="false">IF(1&gt;=Inputs!$B$19,Inputs!$B$18,0)</f>
        <v>0</v>
      </c>
      <c r="C68" s="0" t="n">
        <f aca="false">IF(2&gt;=Inputs!$B$19,Inputs!$B$18,0)</f>
        <v>0</v>
      </c>
      <c r="D68" s="0" t="n">
        <f aca="false">IF(3&gt;=Inputs!$B$19,Inputs!$B$18,0)</f>
        <v>0</v>
      </c>
      <c r="E68" s="0" t="n">
        <f aca="false">IF(4&gt;=Inputs!$B$19,Inputs!$B$18,0)</f>
        <v>0</v>
      </c>
      <c r="F68" s="0" t="n">
        <f aca="false">IF(5&gt;=Inputs!$B$19,Inputs!$B$18,0)</f>
        <v>0</v>
      </c>
      <c r="G68" s="0" t="n">
        <f aca="false">IF(6&gt;=Inputs!$B$19,Inputs!$B$18,0)</f>
        <v>0</v>
      </c>
      <c r="H68" s="0" t="n">
        <f aca="false">IF(7&gt;=Inputs!$B$19,Inputs!$B$18,0)</f>
        <v>15000</v>
      </c>
      <c r="I68" s="0" t="n">
        <f aca="false">IF(8&gt;=Inputs!$B$19,Inputs!$B$18,0)</f>
        <v>15000</v>
      </c>
      <c r="J68" s="0" t="n">
        <f aca="false">IF(9&gt;=Inputs!$B$19,Inputs!$B$18,0)</f>
        <v>15000</v>
      </c>
      <c r="K68" s="0" t="n">
        <f aca="false">IF(10&gt;=Inputs!$B$19,Inputs!$B$18,0)</f>
        <v>15000</v>
      </c>
      <c r="L68" s="0" t="n">
        <f aca="false">IF(11&gt;=Inputs!$B$19,Inputs!$B$18,0)</f>
        <v>15000</v>
      </c>
      <c r="M68" s="0" t="n">
        <f aca="false">IF(12&gt;=Inputs!$B$19,Inputs!$B$18,0)</f>
        <v>15000</v>
      </c>
      <c r="N68" s="0" t="n">
        <f aca="false">SUM(B68:M68)</f>
        <v>90000</v>
      </c>
    </row>
    <row r="69" customFormat="false" ht="15" hidden="false" customHeight="false" outlineLevel="0" collapsed="false">
      <c r="A69" s="0" t="s">
        <v>221</v>
      </c>
      <c r="B69" s="0" t="n">
        <f aca="false">B56-B67</f>
        <v>-13260</v>
      </c>
      <c r="C69" s="0" t="n">
        <f aca="false">C56-C67</f>
        <v>-621.345440080797</v>
      </c>
      <c r="D69" s="0" t="n">
        <f aca="false">D56-D67</f>
        <v>4678.94574390708</v>
      </c>
      <c r="E69" s="0" t="n">
        <f aca="false">E56-E67</f>
        <v>14011.625052895</v>
      </c>
      <c r="F69" s="0" t="n">
        <f aca="false">F56-F67</f>
        <v>16931.119546802</v>
      </c>
      <c r="G69" s="0" t="n">
        <f aca="false">G56-G67</f>
        <v>28001.4494147778</v>
      </c>
      <c r="H69" s="0" t="n">
        <f aca="false">H56-H67</f>
        <v>34322.0341877536</v>
      </c>
      <c r="I69" s="0" t="n">
        <f aca="false">I56-I67</f>
        <v>45788.6663183293</v>
      </c>
      <c r="J69" s="0" t="n">
        <f aca="false">J56-J67</f>
        <v>62900.6257828163</v>
      </c>
      <c r="K69" s="0" t="n">
        <f aca="false">K56-K67</f>
        <v>66830.1700184446</v>
      </c>
      <c r="L69" s="0" t="n">
        <f aca="false">L56-L67</f>
        <v>83430.7034593797</v>
      </c>
      <c r="M69" s="0" t="n">
        <f aca="false">M56-M67</f>
        <v>91186.4680541971</v>
      </c>
      <c r="N69" s="0" t="n">
        <f aca="false">N56-N67</f>
        <v>434200.462139222</v>
      </c>
    </row>
    <row r="70" customFormat="false" ht="15" hidden="false" customHeight="false" outlineLevel="0" collapsed="false">
      <c r="A70" s="0" t="s">
        <v>222</v>
      </c>
      <c r="B70" s="0" t="n">
        <f aca="false">B69-B68</f>
        <v>-13260</v>
      </c>
      <c r="C70" s="0" t="n">
        <f aca="false">C69-C68</f>
        <v>-621.345440080797</v>
      </c>
      <c r="D70" s="0" t="n">
        <f aca="false">D69-D68</f>
        <v>4678.94574390708</v>
      </c>
      <c r="E70" s="0" t="n">
        <f aca="false">E69-E68</f>
        <v>14011.625052895</v>
      </c>
      <c r="F70" s="0" t="n">
        <f aca="false">F69-F68</f>
        <v>16931.119546802</v>
      </c>
      <c r="G70" s="0" t="n">
        <f aca="false">G69-G68</f>
        <v>28001.4494147778</v>
      </c>
      <c r="H70" s="0" t="n">
        <f aca="false">H69-H68</f>
        <v>19322.0341877536</v>
      </c>
      <c r="I70" s="0" t="n">
        <f aca="false">I69-I68</f>
        <v>30788.6663183293</v>
      </c>
      <c r="J70" s="0" t="n">
        <f aca="false">J69-J68</f>
        <v>47900.6257828163</v>
      </c>
      <c r="K70" s="0" t="n">
        <f aca="false">K69-K68</f>
        <v>51830.1700184446</v>
      </c>
      <c r="L70" s="0" t="n">
        <f aca="false">L69-L68</f>
        <v>68430.7034593797</v>
      </c>
      <c r="M70" s="0" t="n">
        <f aca="false">M69-M68</f>
        <v>76186.4680541971</v>
      </c>
      <c r="N70" s="0" t="n">
        <f aca="false">N69-N68</f>
        <v>344200.462139222</v>
      </c>
    </row>
    <row r="71" customFormat="false" ht="15" hidden="false" customHeight="false" outlineLevel="0" collapsed="false">
      <c r="A71" s="0" t="s">
        <v>223</v>
      </c>
      <c r="B71" s="0" t="n">
        <f aca="false">B57-B58-B67-B68</f>
        <v>-13260</v>
      </c>
      <c r="C71" s="0" t="n">
        <f aca="false">C57-C58-C67-C68</f>
        <v>-11871.3454400808</v>
      </c>
      <c r="D71" s="0" t="n">
        <f aca="false">D57-D58-D67-D68</f>
        <v>2991.44574390708</v>
      </c>
      <c r="E71" s="0" t="n">
        <f aca="false">E57-E58-E67-E68</f>
        <v>-8900.87494710504</v>
      </c>
      <c r="F71" s="0" t="n">
        <f aca="false">F57-F58-F67-F68</f>
        <v>22671.619546802</v>
      </c>
      <c r="G71" s="0" t="n">
        <f aca="false">G57-G58-G67-G68</f>
        <v>3401.44941477777</v>
      </c>
      <c r="H71" s="0" t="n">
        <f aca="false">H57-H58-H67-H68</f>
        <v>34625.0341877536</v>
      </c>
      <c r="I71" s="0" t="n">
        <f aca="false">I57-I58-I67-I68</f>
        <v>6188.66631832928</v>
      </c>
      <c r="J71" s="0" t="n">
        <f aca="false">J57-J58-J67-J68</f>
        <v>30728.6257828163</v>
      </c>
      <c r="K71" s="0" t="n">
        <f aca="false">K57-K58-K67-K68</f>
        <v>65445.6700184446</v>
      </c>
      <c r="L71" s="0" t="n">
        <f aca="false">L57-L58-L67-L68</f>
        <v>42143.2034593797</v>
      </c>
      <c r="M71" s="0" t="n">
        <f aca="false">M57-M58-M67-M68</f>
        <v>68576.968054197</v>
      </c>
      <c r="N71" s="0" t="n">
        <f aca="false">SUM(B71:M71)</f>
        <v>242740.462139222</v>
      </c>
    </row>
    <row r="72" customFormat="false" ht="15" hidden="false" customHeight="false" outlineLevel="0" collapsed="false">
      <c r="A72" s="0" t="s">
        <v>224</v>
      </c>
      <c r="B72" s="0" t="n">
        <f aca="false">Capital_Plan!$B$15+B71</f>
        <v>221740</v>
      </c>
      <c r="C72" s="0" t="n">
        <f aca="false">B72+C71</f>
        <v>209868.654559919</v>
      </c>
      <c r="D72" s="0" t="n">
        <f aca="false">C72+D71</f>
        <v>212860.100303826</v>
      </c>
      <c r="E72" s="0" t="n">
        <f aca="false">D72+E71</f>
        <v>203959.225356721</v>
      </c>
      <c r="F72" s="0" t="n">
        <f aca="false">E72+F71</f>
        <v>226630.844903523</v>
      </c>
      <c r="G72" s="0" t="n">
        <f aca="false">F72+G71</f>
        <v>230032.294318301</v>
      </c>
      <c r="H72" s="0" t="n">
        <f aca="false">G72+H71</f>
        <v>264657.328506055</v>
      </c>
      <c r="I72" s="0" t="n">
        <f aca="false">H72+I71</f>
        <v>270845.994824384</v>
      </c>
      <c r="J72" s="0" t="n">
        <f aca="false">I72+J71</f>
        <v>301574.6206072</v>
      </c>
      <c r="K72" s="0" t="n">
        <f aca="false">J72+K71</f>
        <v>367020.290625645</v>
      </c>
      <c r="L72" s="0" t="n">
        <f aca="false">K72+L71</f>
        <v>409163.494085024</v>
      </c>
      <c r="M72" s="0" t="n">
        <f aca="false">L72+M71</f>
        <v>477740.462139222</v>
      </c>
    </row>
    <row r="73" customFormat="false" ht="15" hidden="false" customHeight="false" outlineLevel="0" collapsed="false">
      <c r="A73" s="0" t="s">
        <v>225</v>
      </c>
      <c r="B73" s="0" t="n">
        <f aca="false">SUM($B55:B55)</f>
        <v>6000</v>
      </c>
      <c r="C73" s="0" t="n">
        <f aca="false">SUM($B55:C55)</f>
        <v>48930</v>
      </c>
      <c r="D73" s="0" t="n">
        <f aca="false">SUM($B55:D55)</f>
        <v>106102.5</v>
      </c>
      <c r="E73" s="0" t="n">
        <f aca="false">SUM($B55:E55)</f>
        <v>221748.75</v>
      </c>
      <c r="F73" s="0" t="n">
        <f aca="false">SUM($B55:F55)</f>
        <v>348969</v>
      </c>
      <c r="G73" s="0" t="n">
        <f aca="false">SUM($B55:G55)</f>
        <v>539819.25</v>
      </c>
      <c r="H73" s="0" t="n">
        <f aca="false">SUM($B55:H55)</f>
        <v>723639.75</v>
      </c>
      <c r="I73" s="0" t="n">
        <f aca="false">SUM($B55:I55)</f>
        <v>971712.3</v>
      </c>
      <c r="J73" s="0" t="n">
        <f aca="false">SUM($B55:J55)</f>
        <v>1278419.886</v>
      </c>
      <c r="K73" s="0" t="n">
        <f aca="false">SUM($B55:K55)</f>
        <v>1566623.62512</v>
      </c>
      <c r="L73" s="0" t="n">
        <f aca="false">SUM($B55:L55)</f>
        <v>1937915.7451104</v>
      </c>
      <c r="M73" s="0" t="n">
        <f aca="false">SUM($B55:M55)</f>
        <v>2334104.82550157</v>
      </c>
    </row>
    <row r="75" customFormat="false" ht="15" hidden="false" customHeight="false" outlineLevel="0" collapsed="false">
      <c r="A75" s="4" t="s">
        <v>226</v>
      </c>
      <c r="B75" s="3" t="n">
        <f aca="false">N55</f>
        <v>2334104.82550157</v>
      </c>
    </row>
    <row r="76" customFormat="false" ht="15" hidden="false" customHeight="false" outlineLevel="0" collapsed="false">
      <c r="A76" s="4" t="s">
        <v>227</v>
      </c>
      <c r="B76" s="3" t="n">
        <f aca="false">N56</f>
        <v>722200.462139222</v>
      </c>
    </row>
    <row r="77" customFormat="false" ht="15" hidden="false" customHeight="false" outlineLevel="0" collapsed="false">
      <c r="A77" s="4" t="s">
        <v>178</v>
      </c>
      <c r="B77" s="3" t="n">
        <f aca="false">N56/N55</f>
        <v>0.309412179885293</v>
      </c>
    </row>
    <row r="78" customFormat="false" ht="15" hidden="false" customHeight="false" outlineLevel="0" collapsed="false">
      <c r="A78" s="4" t="s">
        <v>228</v>
      </c>
      <c r="B78" s="3" t="n">
        <f aca="false">N70</f>
        <v>344200.462139222</v>
      </c>
    </row>
    <row r="79" customFormat="false" ht="15" hidden="false" customHeight="false" outlineLevel="0" collapsed="false">
      <c r="A79" s="4" t="s">
        <v>229</v>
      </c>
      <c r="B79" s="3" t="n">
        <f aca="false">MIN(B72:M72)</f>
        <v>203959.225356721</v>
      </c>
    </row>
    <row r="80" customFormat="false" ht="15" hidden="false" customHeight="false" outlineLevel="0" collapsed="false">
      <c r="A80" s="4" t="s">
        <v>230</v>
      </c>
      <c r="B80" s="3" t="n">
        <f aca="false">M72</f>
        <v>477740.462139222</v>
      </c>
    </row>
    <row r="81" customFormat="false" ht="15" hidden="false" customHeight="false" outlineLevel="0" collapsed="false">
      <c r="A81" s="4" t="s">
        <v>231</v>
      </c>
      <c r="B81" s="0" t="str">
        <f aca="false">IF(B79&gt;=-Capital_Plan!$B$14,"YES","NO")</f>
        <v>YES</v>
      </c>
    </row>
    <row r="82" customFormat="false" ht="15" hidden="false" customHeight="false" outlineLevel="0" collapsed="false">
      <c r="A82" s="4" t="s">
        <v>232</v>
      </c>
      <c r="B82" s="3" t="n">
        <f aca="false">IFERROR(MATCH(TRUE(),INDEX(B69:M69&gt;=0,0),0),"none")</f>
        <v>3</v>
      </c>
    </row>
    <row r="83" customFormat="false" ht="15" hidden="false" customHeight="false" outlineLevel="0" collapsed="false">
      <c r="A83" s="4" t="s">
        <v>233</v>
      </c>
      <c r="B83" s="3" t="n">
        <f aca="false">N53-N33</f>
        <v>66</v>
      </c>
    </row>
    <row r="84" customFormat="false" ht="15" hidden="false" customHeight="false" outlineLevel="0" collapsed="false">
      <c r="A84" s="4" t="s">
        <v>234</v>
      </c>
      <c r="B84" s="3" t="n">
        <f aca="false">N55/N54</f>
        <v>16618.0382688117</v>
      </c>
    </row>
    <row r="85" customFormat="false" ht="15" hidden="false" customHeight="false" outlineLevel="0" collapsed="false">
      <c r="A85" s="4" t="s">
        <v>235</v>
      </c>
      <c r="B85" s="3" t="n">
        <f aca="false">M70</f>
        <v>76186.4680541971</v>
      </c>
    </row>
    <row r="86" customFormat="false" ht="15" hidden="false" customHeight="false" outlineLevel="0" collapsed="false">
      <c r="A86" s="4" t="s">
        <v>236</v>
      </c>
      <c r="B86" s="0" t="str">
        <f aca="false">IFERROR(MATCH(TRUE(),INDEX(B73:M73&gt;=3000000,0),0),"not in 12 mo")</f>
        <v>not in 12 mo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237</v>
      </c>
      <c r="B1" s="1" t="s">
        <v>238</v>
      </c>
      <c r="C1" s="1" t="s">
        <v>239</v>
      </c>
    </row>
    <row r="2" customFormat="false" ht="15" hidden="false" customHeight="false" outlineLevel="0" collapsed="false">
      <c r="A2" s="0" t="s">
        <v>240</v>
      </c>
      <c r="B2" s="2" t="n">
        <v>55000</v>
      </c>
      <c r="C2" s="3" t="s">
        <v>71</v>
      </c>
    </row>
    <row r="3" customFormat="false" ht="15" hidden="false" customHeight="false" outlineLevel="0" collapsed="false">
      <c r="A3" s="0" t="s">
        <v>241</v>
      </c>
      <c r="B3" s="2" t="n">
        <v>15000</v>
      </c>
      <c r="C3" s="3" t="s">
        <v>71</v>
      </c>
    </row>
    <row r="4" customFormat="false" ht="15" hidden="false" customHeight="false" outlineLevel="0" collapsed="false">
      <c r="A4" s="0" t="s">
        <v>242</v>
      </c>
      <c r="B4" s="2" t="n">
        <v>20000</v>
      </c>
      <c r="C4" s="3" t="s">
        <v>243</v>
      </c>
    </row>
    <row r="5" customFormat="false" ht="15" hidden="false" customHeight="false" outlineLevel="0" collapsed="false">
      <c r="A5" s="0" t="s">
        <v>244</v>
      </c>
      <c r="B5" s="2" t="n">
        <v>5000</v>
      </c>
      <c r="C5" s="3" t="s">
        <v>245</v>
      </c>
    </row>
    <row r="6" customFormat="false" ht="15" hidden="false" customHeight="false" outlineLevel="0" collapsed="false">
      <c r="A6" s="0" t="s">
        <v>246</v>
      </c>
      <c r="B6" s="2" t="n">
        <v>0</v>
      </c>
      <c r="C6" s="3" t="s">
        <v>247</v>
      </c>
    </row>
    <row r="7" customFormat="false" ht="15" hidden="false" customHeight="false" outlineLevel="0" collapsed="false">
      <c r="A7" s="0" t="s">
        <v>248</v>
      </c>
      <c r="B7" s="2" t="n">
        <v>40000</v>
      </c>
      <c r="C7" s="3" t="s">
        <v>249</v>
      </c>
    </row>
    <row r="8" customFormat="false" ht="15" hidden="false" customHeight="false" outlineLevel="0" collapsed="false">
      <c r="A8" s="0" t="s">
        <v>250</v>
      </c>
      <c r="B8" s="2" t="n">
        <v>20000</v>
      </c>
      <c r="C8" s="3" t="s">
        <v>71</v>
      </c>
    </row>
    <row r="9" customFormat="false" ht="15" hidden="false" customHeight="false" outlineLevel="0" collapsed="false">
      <c r="A9" s="0" t="s">
        <v>251</v>
      </c>
      <c r="B9" s="2" t="n">
        <v>20000</v>
      </c>
      <c r="C9" s="3" t="s">
        <v>252</v>
      </c>
    </row>
    <row r="10" customFormat="false" ht="15" hidden="false" customHeight="false" outlineLevel="0" collapsed="false">
      <c r="A10" s="0" t="s">
        <v>253</v>
      </c>
      <c r="B10" s="2" t="n">
        <v>20000</v>
      </c>
      <c r="C10" s="3" t="s">
        <v>254</v>
      </c>
    </row>
    <row r="11" customFormat="false" ht="15" hidden="false" customHeight="false" outlineLevel="0" collapsed="false">
      <c r="A11" s="0" t="s">
        <v>255</v>
      </c>
      <c r="B11" s="2" t="n">
        <v>15000</v>
      </c>
      <c r="C11" s="3" t="s">
        <v>256</v>
      </c>
    </row>
    <row r="12" customFormat="false" ht="15" hidden="false" customHeight="false" outlineLevel="0" collapsed="false">
      <c r="A12" s="0" t="s">
        <v>257</v>
      </c>
      <c r="B12" s="2" t="n">
        <v>5000</v>
      </c>
      <c r="C12" s="3" t="s">
        <v>254</v>
      </c>
    </row>
    <row r="13" customFormat="false" ht="15" hidden="false" customHeight="false" outlineLevel="0" collapsed="false">
      <c r="A13" s="4" t="s">
        <v>258</v>
      </c>
      <c r="B13" s="3" t="n">
        <f aca="false">SUM(B2:B12)</f>
        <v>215000</v>
      </c>
    </row>
    <row r="14" customFormat="false" ht="15" hidden="false" customHeight="false" outlineLevel="0" collapsed="false">
      <c r="A14" s="0" t="s">
        <v>259</v>
      </c>
      <c r="B14" s="2" t="n">
        <v>50000</v>
      </c>
    </row>
    <row r="15" customFormat="false" ht="15" hidden="false" customHeight="false" outlineLevel="0" collapsed="false">
      <c r="A15" s="4" t="s">
        <v>260</v>
      </c>
      <c r="B15" s="3" t="n">
        <f aca="false">500000-B13-B14</f>
        <v>235000</v>
      </c>
    </row>
    <row r="16" customFormat="false" ht="15" hidden="false" customHeight="false" outlineLevel="0" collapsed="false">
      <c r="A16" s="4" t="s">
        <v>261</v>
      </c>
      <c r="B16" s="3" t="n">
        <f aca="false">B13+B14+B15</f>
        <v>500000</v>
      </c>
    </row>
    <row r="17" customFormat="false" ht="15" hidden="false" customHeight="false" outlineLevel="0" collapsed="false">
      <c r="A17" s="0" t="s">
        <v>262</v>
      </c>
      <c r="B17" s="0" t="str">
        <f aca="false">IF(B16&lt;=500000,"YES","NO")</f>
        <v>YES</v>
      </c>
    </row>
    <row r="18" customFormat="false" ht="15" hidden="false" customHeight="false" outlineLevel="0" collapsed="false">
      <c r="A18" s="5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8" min="3" style="0" width="14"/>
    <col collapsed="false" customWidth="true" hidden="false" outlineLevel="0" max="9" min="9" style="0" width="16"/>
  </cols>
  <sheetData>
    <row r="1" customFormat="false" ht="28.35" hidden="false" customHeight="false" outlineLevel="0" collapsed="false">
      <c r="A1" s="1" t="s">
        <v>264</v>
      </c>
      <c r="B1" s="1" t="s">
        <v>265</v>
      </c>
      <c r="C1" s="1" t="s">
        <v>207</v>
      </c>
      <c r="D1" s="1" t="s">
        <v>208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</row>
    <row r="2" customFormat="false" ht="15" hidden="false" customHeight="false" outlineLevel="0" collapsed="false">
      <c r="A2" s="0" t="s">
        <v>271</v>
      </c>
      <c r="B2" s="0" t="s">
        <v>272</v>
      </c>
      <c r="C2" s="0" t="n">
        <v>2334105</v>
      </c>
      <c r="D2" s="0" t="n">
        <v>722200</v>
      </c>
      <c r="E2" s="0" t="n">
        <v>0.309</v>
      </c>
      <c r="F2" s="0" t="n">
        <v>344200</v>
      </c>
      <c r="G2" s="0" t="n">
        <v>203959</v>
      </c>
      <c r="H2" s="0" t="s">
        <v>273</v>
      </c>
      <c r="I2" s="0" t="s">
        <v>274</v>
      </c>
    </row>
    <row r="3" customFormat="false" ht="15" hidden="false" customHeight="false" outlineLevel="0" collapsed="false">
      <c r="A3" s="0" t="s">
        <v>275</v>
      </c>
      <c r="B3" s="0" t="s">
        <v>276</v>
      </c>
      <c r="C3" s="0" t="n">
        <v>1556070</v>
      </c>
      <c r="D3" s="0" t="n">
        <v>481467</v>
      </c>
      <c r="E3" s="0" t="n">
        <v>0.309</v>
      </c>
      <c r="F3" s="0" t="n">
        <v>103467</v>
      </c>
      <c r="G3" s="0" t="n">
        <v>188897</v>
      </c>
      <c r="H3" s="0" t="s">
        <v>273</v>
      </c>
      <c r="I3" s="0" t="s">
        <v>274</v>
      </c>
    </row>
    <row r="4" customFormat="false" ht="15" hidden="false" customHeight="false" outlineLevel="0" collapsed="false">
      <c r="A4" s="0" t="s">
        <v>277</v>
      </c>
      <c r="B4" s="0" t="s">
        <v>278</v>
      </c>
      <c r="C4" s="0" t="n">
        <v>1291320</v>
      </c>
      <c r="D4" s="0" t="n">
        <v>270590</v>
      </c>
      <c r="E4" s="0" t="n">
        <v>0.21</v>
      </c>
      <c r="F4" s="0" t="n">
        <v>-107410</v>
      </c>
      <c r="G4" s="0" t="n">
        <v>71200</v>
      </c>
      <c r="H4" s="0" t="s">
        <v>273</v>
      </c>
      <c r="I4" s="0" t="s">
        <v>274</v>
      </c>
    </row>
    <row r="5" customFormat="false" ht="15" hidden="false" customHeight="false" outlineLevel="0" collapsed="false">
      <c r="A5" s="0" t="s">
        <v>279</v>
      </c>
      <c r="B5" s="0" t="s">
        <v>280</v>
      </c>
      <c r="C5" s="0" t="n">
        <v>903924</v>
      </c>
      <c r="D5" s="0" t="n">
        <v>189413</v>
      </c>
      <c r="E5" s="0" t="n">
        <v>0.21</v>
      </c>
      <c r="F5" s="0" t="n">
        <v>-323587</v>
      </c>
      <c r="G5" s="0" t="n">
        <v>-128060</v>
      </c>
      <c r="H5" s="0" t="s">
        <v>281</v>
      </c>
      <c r="I5" s="0" t="s">
        <v>274</v>
      </c>
    </row>
    <row r="6" customFormat="false" ht="15" hidden="false" customHeight="false" outlineLevel="0" collapsed="false">
      <c r="A6" s="0" t="s">
        <v>282</v>
      </c>
      <c r="B6" s="0" t="s">
        <v>283</v>
      </c>
      <c r="C6" s="0" t="n">
        <v>2258826</v>
      </c>
      <c r="D6" s="0" t="n">
        <v>771196</v>
      </c>
      <c r="E6" s="0" t="n">
        <v>0.341</v>
      </c>
      <c r="F6" s="0" t="n">
        <v>393196</v>
      </c>
      <c r="G6" s="0" t="n">
        <v>209710</v>
      </c>
      <c r="H6" s="0" t="s">
        <v>273</v>
      </c>
      <c r="I6" s="0" t="s">
        <v>274</v>
      </c>
    </row>
    <row r="8" customFormat="false" ht="15" hidden="false" customHeight="false" outlineLevel="0" collapsed="false">
      <c r="A8" s="5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0"/>
    <col collapsed="false" customWidth="true" hidden="false" outlineLevel="0" max="5" min="5" style="0" width="60"/>
  </cols>
  <sheetData>
    <row r="1" customFormat="false" ht="28.35" hidden="false" customHeight="false" outlineLevel="0" collapsed="false">
      <c r="A1" s="1" t="s">
        <v>285</v>
      </c>
      <c r="B1" s="1" t="s">
        <v>286</v>
      </c>
      <c r="C1" s="1" t="s">
        <v>287</v>
      </c>
      <c r="D1" s="1" t="s">
        <v>288</v>
      </c>
      <c r="E1" s="1" t="s">
        <v>289</v>
      </c>
    </row>
    <row r="2" customFormat="false" ht="15" hidden="false" customHeight="false" outlineLevel="0" collapsed="false">
      <c r="A2" s="0" t="s">
        <v>207</v>
      </c>
      <c r="B2" s="2" t="n">
        <v>1983600</v>
      </c>
      <c r="C2" s="3" t="n">
        <f aca="false">Strategy_Engine!$B$75</f>
        <v>2334104.82550157</v>
      </c>
      <c r="D2" s="3" t="n">
        <f aca="false">C2-B2</f>
        <v>350504.825501568</v>
      </c>
    </row>
    <row r="3" customFormat="false" ht="15" hidden="false" customHeight="false" outlineLevel="0" collapsed="false">
      <c r="A3" s="0" t="s">
        <v>208</v>
      </c>
      <c r="B3" s="2" t="n">
        <v>402223</v>
      </c>
      <c r="C3" s="3" t="n">
        <f aca="false">Strategy_Engine!$B$76</f>
        <v>722200.462139222</v>
      </c>
      <c r="D3" s="3" t="n">
        <f aca="false">C3-B3</f>
        <v>319977.462139222</v>
      </c>
    </row>
    <row r="4" customFormat="false" ht="15" hidden="false" customHeight="false" outlineLevel="0" collapsed="false">
      <c r="A4" s="0" t="s">
        <v>178</v>
      </c>
      <c r="B4" s="2" t="n">
        <v>0.202774248840492</v>
      </c>
      <c r="C4" s="3" t="n">
        <f aca="false">Strategy_Engine!$B$77</f>
        <v>0.309412179885293</v>
      </c>
      <c r="D4" s="3" t="n">
        <f aca="false">C4-B4</f>
        <v>0.106637931044801</v>
      </c>
    </row>
    <row r="5" customFormat="false" ht="15" hidden="false" customHeight="false" outlineLevel="0" collapsed="false">
      <c r="A5" s="0" t="s">
        <v>290</v>
      </c>
      <c r="B5" s="2" t="n">
        <v>-77777</v>
      </c>
      <c r="C5" s="3" t="n">
        <f aca="false">Strategy_Engine!$B$78</f>
        <v>344200.462139222</v>
      </c>
      <c r="D5" s="3" t="n">
        <f aca="false">C5-B5</f>
        <v>421977.462139222</v>
      </c>
    </row>
    <row r="6" customFormat="false" ht="15" hidden="false" customHeight="false" outlineLevel="0" collapsed="false">
      <c r="A6" s="0" t="s">
        <v>291</v>
      </c>
      <c r="B6" s="2" t="n">
        <v>-21949</v>
      </c>
      <c r="C6" s="3" t="n">
        <f aca="false">Strategy_Engine!$B$79</f>
        <v>203959.225356721</v>
      </c>
      <c r="D6" s="3" t="n">
        <f aca="false">C6-B6</f>
        <v>225908.225356721</v>
      </c>
    </row>
    <row r="7" customFormat="false" ht="15" hidden="false" customHeight="false" outlineLevel="0" collapsed="false">
      <c r="A7" s="0" t="s">
        <v>292</v>
      </c>
      <c r="B7" s="2" t="n">
        <v>44</v>
      </c>
      <c r="C7" s="3" t="n">
        <f aca="false">Strategy_Engine!$B$83</f>
        <v>66</v>
      </c>
      <c r="D7" s="3" t="n">
        <f aca="false">C7-B7</f>
        <v>22</v>
      </c>
    </row>
    <row r="8" customFormat="false" ht="15" hidden="false" customHeight="false" outlineLevel="0" collapsed="false">
      <c r="A8" s="0" t="s">
        <v>234</v>
      </c>
      <c r="B8" s="2" t="n">
        <v>26718.75</v>
      </c>
      <c r="C8" s="3" t="n">
        <f aca="false">Strategy_Engine!$B$84</f>
        <v>16618.0382688117</v>
      </c>
      <c r="D8" s="3" t="n">
        <f aca="false">C8-B8</f>
        <v>-10100.7117311883</v>
      </c>
    </row>
    <row r="10" customFormat="false" ht="15" hidden="false" customHeight="false" outlineLevel="0" collapsed="false">
      <c r="A10" s="6" t="s">
        <v>293</v>
      </c>
    </row>
    <row r="11" customFormat="false" ht="15" hidden="false" customHeight="false" outlineLevel="0" collapsed="false">
      <c r="A11" s="0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28.35" hidden="false" customHeight="false" outlineLevel="0" collapsed="false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</row>
    <row r="2" customFormat="false" ht="15" hidden="false" customHeight="false" outlineLevel="0" collapsed="false">
      <c r="A2" s="0" t="s">
        <v>302</v>
      </c>
      <c r="B2" s="0" t="s">
        <v>303</v>
      </c>
      <c r="C2" s="0" t="n">
        <f aca="false">Strategy_Engine!N16*Offer_Ladder!C3</f>
        <v>5452.5</v>
      </c>
      <c r="D2" s="0" t="n">
        <f aca="false">Sourcing_Decision!E3-Sourcing_Decision!G3</f>
        <v>15.5711816176</v>
      </c>
      <c r="E2" s="0" t="n">
        <f aca="false">IFERROR(C2*D2,0)</f>
        <v>84901.8677699641</v>
      </c>
      <c r="F2" s="0" t="n">
        <v>0</v>
      </c>
      <c r="G2" s="0" t="s">
        <v>304</v>
      </c>
    </row>
    <row r="3" customFormat="false" ht="15" hidden="false" customHeight="false" outlineLevel="0" collapsed="false">
      <c r="A3" s="0" t="s">
        <v>305</v>
      </c>
      <c r="B3" s="0" t="s">
        <v>306</v>
      </c>
      <c r="C3" s="0" t="n">
        <f aca="false">Strategy_Engine!N6*Offer_Ladder!B3</f>
        <v>8306.25</v>
      </c>
      <c r="D3" s="0" t="n">
        <f aca="false">9-4</f>
        <v>5</v>
      </c>
      <c r="E3" s="0" t="n">
        <f aca="false">IFERROR(C3*D3,0)</f>
        <v>41531.25</v>
      </c>
      <c r="F3" s="0" t="n">
        <v>0</v>
      </c>
      <c r="G3" s="0" t="s">
        <v>307</v>
      </c>
    </row>
    <row r="4" customFormat="false" ht="15" hidden="false" customHeight="false" outlineLevel="0" collapsed="false">
      <c r="A4" s="0" t="s">
        <v>308</v>
      </c>
      <c r="B4" s="0" t="s">
        <v>309</v>
      </c>
      <c r="C4" s="0" t="n">
        <f aca="false">Strategy_Engine!N26*0.5</f>
        <v>3.24</v>
      </c>
      <c r="D4" s="0" t="n">
        <f aca="false">Offer_Ladder!D8</f>
        <v>4000</v>
      </c>
      <c r="E4" s="0" t="n">
        <f aca="false">IFERROR(C4*D4,0)</f>
        <v>12960</v>
      </c>
      <c r="F4" s="0" t="n">
        <v>0</v>
      </c>
      <c r="G4" s="0" t="s">
        <v>310</v>
      </c>
    </row>
    <row r="5" customFormat="false" ht="15" hidden="false" customHeight="false" outlineLevel="0" collapsed="false">
      <c r="A5" s="0" t="s">
        <v>311</v>
      </c>
      <c r="B5" s="0" t="s">
        <v>312</v>
      </c>
      <c r="C5" s="0" t="n">
        <f aca="false">Strategy_Engine!N54</f>
        <v>140.456098833408</v>
      </c>
      <c r="D5" s="0" t="n">
        <f aca="false">Inputs!$B$11-Inputs!$B$12</f>
        <v>520</v>
      </c>
      <c r="E5" s="0" t="n">
        <f aca="false">IFERROR(C5*D5,0)</f>
        <v>73037.1713933722</v>
      </c>
      <c r="F5" s="0" t="n">
        <v>0</v>
      </c>
      <c r="G5" s="0" t="s">
        <v>313</v>
      </c>
    </row>
    <row r="6" customFormat="false" ht="15" hidden="false" customHeight="false" outlineLevel="0" collapsed="false">
      <c r="A6" s="0" t="s">
        <v>314</v>
      </c>
      <c r="B6" s="0" t="s">
        <v>315</v>
      </c>
      <c r="C6" s="0" t="s">
        <v>316</v>
      </c>
      <c r="D6" s="0" t="s">
        <v>317</v>
      </c>
      <c r="E6" s="0" t="n">
        <f aca="false">IFERROR(C6*D6,0)</f>
        <v>32000</v>
      </c>
      <c r="F6" s="0" t="s">
        <v>318</v>
      </c>
      <c r="G6" s="0" t="s">
        <v>319</v>
      </c>
    </row>
    <row r="7" customFormat="false" ht="15" hidden="false" customHeight="false" outlineLevel="0" collapsed="false">
      <c r="A7" s="0" t="s">
        <v>320</v>
      </c>
      <c r="B7" s="0" t="s">
        <v>321</v>
      </c>
      <c r="C7" s="0" t="n">
        <f aca="false">(Strategy_Engine!N58)*0.6</f>
        <v>967142.618017408</v>
      </c>
      <c r="D7" s="0" t="n">
        <f aca="false">Inputs!$B$6*Inputs!$B$8</f>
        <v>0.078</v>
      </c>
      <c r="E7" s="0" t="n">
        <f aca="false">IFERROR(C7*D7,0)</f>
        <v>75437.1242053578</v>
      </c>
      <c r="F7" s="0" t="n">
        <v>0</v>
      </c>
      <c r="G7" s="0" t="s">
        <v>322</v>
      </c>
    </row>
    <row r="8" customFormat="false" ht="15" hidden="false" customHeight="false" outlineLevel="0" collapsed="false">
      <c r="A8" s="0" t="s">
        <v>323</v>
      </c>
      <c r="B8" s="0" t="s">
        <v>324</v>
      </c>
      <c r="C8" s="0" t="n">
        <f aca="false">Strategy_Engine!N54</f>
        <v>140.456098833408</v>
      </c>
      <c r="D8" s="0" t="n">
        <f aca="false">2*Inputs!$B$21</f>
        <v>800</v>
      </c>
      <c r="E8" s="0" t="n">
        <f aca="false">IFERROR(C8*D8,0)</f>
        <v>112364.879066726</v>
      </c>
      <c r="F8" s="0" t="n">
        <v>0</v>
      </c>
      <c r="G8" s="0" t="s">
        <v>325</v>
      </c>
    </row>
    <row r="9" customFormat="false" ht="15" hidden="false" customHeight="false" outlineLevel="0" collapsed="false">
      <c r="A9" s="0" t="s">
        <v>326</v>
      </c>
      <c r="B9" s="0" t="s">
        <v>327</v>
      </c>
      <c r="C9" s="0" t="n">
        <f aca="false">Strategy_Engine!N6*Offer_Ladder!B3+Strategy_Engine!N46*Offer_Ladder!F3</f>
        <v>12256.0796500224</v>
      </c>
      <c r="D9" s="0" t="n">
        <f aca="false">0.05*35</f>
        <v>1.75</v>
      </c>
      <c r="E9" s="0" t="n">
        <f aca="false">IFERROR(C9*D9,0)</f>
        <v>21448.1393875392</v>
      </c>
      <c r="F9" s="0" t="n">
        <v>0</v>
      </c>
      <c r="G9" s="0" t="s">
        <v>328</v>
      </c>
    </row>
    <row r="10" customFormat="false" ht="15" hidden="false" customHeight="false" outlineLevel="0" collapsed="false">
      <c r="A10" s="0" t="s">
        <v>329</v>
      </c>
      <c r="B10" s="0" t="s">
        <v>330</v>
      </c>
      <c r="E10" s="0" t="n">
        <f aca="false">IFERROR(C10*D10,0)</f>
        <v>0</v>
      </c>
      <c r="F10" s="0" t="n">
        <f aca="false">0.5*Strategy_Engine!E27</f>
        <v>21225</v>
      </c>
      <c r="G10" s="0" t="s">
        <v>331</v>
      </c>
    </row>
    <row r="11" customFormat="false" ht="15" hidden="false" customHeight="false" outlineLevel="0" collapsed="false">
      <c r="B11" s="4" t="s">
        <v>261</v>
      </c>
      <c r="E11" s="3" t="n">
        <f aca="false">SUM(E2:E10)</f>
        <v>453680.43182296</v>
      </c>
      <c r="F11" s="3" t="n">
        <f aca="false">SUM(F2:F10)</f>
        <v>21225</v>
      </c>
    </row>
    <row r="13" customFormat="false" ht="15" hidden="false" customHeight="false" outlineLevel="0" collapsed="false">
      <c r="B13" s="5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60"/>
  </cols>
  <sheetData>
    <row r="1" customFormat="false" ht="41.75" hidden="false" customHeight="false" outlineLevel="0" collapsed="false">
      <c r="A1" s="1" t="s">
        <v>295</v>
      </c>
      <c r="B1" s="1" t="s">
        <v>333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105</v>
      </c>
    </row>
    <row r="2" customFormat="false" ht="15" hidden="false" customHeight="false" outlineLevel="0" collapsed="false">
      <c r="A2" s="0" t="s">
        <v>340</v>
      </c>
      <c r="B2" s="0" t="s">
        <v>341</v>
      </c>
      <c r="C2" s="0" t="n">
        <f aca="false">0.4*Strategy_Engine!N54</f>
        <v>56.1824395333632</v>
      </c>
      <c r="D2" s="0" t="n">
        <f aca="false">0.15*Strategy_Engine!B84</f>
        <v>2492.70574032175</v>
      </c>
      <c r="E2" s="2" t="n">
        <v>0.55</v>
      </c>
      <c r="F2" s="3" t="n">
        <f aca="false">C2*D2*E2</f>
        <v>77025.4592415518</v>
      </c>
      <c r="G2" s="2" t="n">
        <v>0</v>
      </c>
      <c r="H2" s="3" t="n">
        <f aca="false">F2-G2</f>
        <v>77025.4592415518</v>
      </c>
      <c r="I2" s="3" t="s">
        <v>342</v>
      </c>
    </row>
    <row r="3" customFormat="false" ht="15" hidden="false" customHeight="false" outlineLevel="0" collapsed="false">
      <c r="A3" s="0" t="s">
        <v>343</v>
      </c>
      <c r="B3" s="0" t="s">
        <v>344</v>
      </c>
      <c r="C3" s="0" t="n">
        <f aca="false">0.05*SUM(Strategy_Engine!B3:M3)*6</f>
        <v>12.375</v>
      </c>
      <c r="D3" s="0" t="n">
        <f aca="false">Offer_Ladder!B10</f>
        <v>9500</v>
      </c>
      <c r="E3" s="0" t="n">
        <f aca="false">Offer_Ladder!B15</f>
        <v>0.39904947368421</v>
      </c>
      <c r="F3" s="0" t="n">
        <f aca="false">C3*D3*E3</f>
        <v>46913.25375</v>
      </c>
      <c r="G3" s="2" t="n">
        <v>3000</v>
      </c>
      <c r="H3" s="3" t="n">
        <f aca="false">F3-G3</f>
        <v>43913.25375</v>
      </c>
      <c r="I3" s="3" t="s">
        <v>26</v>
      </c>
    </row>
    <row r="4" customFormat="false" ht="15" hidden="false" customHeight="false" outlineLevel="0" collapsed="false">
      <c r="A4" s="0" t="s">
        <v>345</v>
      </c>
      <c r="B4" s="0" t="s">
        <v>346</v>
      </c>
      <c r="C4" s="0" t="n">
        <f aca="false">1600*0.01*3</f>
        <v>48</v>
      </c>
      <c r="D4" s="0" t="n">
        <f aca="false">Offer_Ladder!B10</f>
        <v>9500</v>
      </c>
      <c r="E4" s="0" t="n">
        <f aca="false">Offer_Ladder!B15</f>
        <v>0.39904947368421</v>
      </c>
      <c r="F4" s="0" t="n">
        <f aca="false">C4*D4*E4</f>
        <v>181966.56</v>
      </c>
      <c r="G4" s="2" t="n">
        <v>10000</v>
      </c>
      <c r="H4" s="3" t="n">
        <f aca="false">F4-G4</f>
        <v>171966.56</v>
      </c>
      <c r="I4" s="3" t="s">
        <v>347</v>
      </c>
    </row>
    <row r="5" customFormat="false" ht="15" hidden="false" customHeight="false" outlineLevel="0" collapsed="false">
      <c r="A5" s="0" t="s">
        <v>348</v>
      </c>
      <c r="B5" s="0" t="s">
        <v>349</v>
      </c>
      <c r="C5" s="0" t="n">
        <v>6</v>
      </c>
      <c r="D5" s="0" t="n">
        <f aca="false">Offer_Ladder!E10</f>
        <v>8000</v>
      </c>
      <c r="E5" s="0" t="n">
        <f aca="false">Offer_Ladder!E15</f>
        <v>0.805</v>
      </c>
      <c r="F5" s="0" t="n">
        <f aca="false">C5*D5*E5</f>
        <v>38640</v>
      </c>
      <c r="G5" s="2" t="n">
        <v>0</v>
      </c>
      <c r="H5" s="3" t="n">
        <f aca="false">F5-G5</f>
        <v>38640</v>
      </c>
      <c r="I5" s="3" t="s">
        <v>350</v>
      </c>
    </row>
    <row r="6" customFormat="false" ht="15" hidden="false" customHeight="false" outlineLevel="0" collapsed="false">
      <c r="A6" s="0" t="s">
        <v>351</v>
      </c>
      <c r="B6" s="0" t="s">
        <v>352</v>
      </c>
      <c r="C6" s="0" t="n">
        <v>8</v>
      </c>
      <c r="D6" s="0" t="n">
        <v>40000</v>
      </c>
      <c r="E6" s="2" t="n">
        <v>0.22</v>
      </c>
      <c r="F6" s="3" t="n">
        <f aca="false">C6*D6*E6</f>
        <v>70400</v>
      </c>
      <c r="G6" s="2" t="n">
        <v>15000</v>
      </c>
      <c r="H6" s="3" t="n">
        <f aca="false">F6-G6</f>
        <v>55400</v>
      </c>
      <c r="I6" s="3" t="s">
        <v>353</v>
      </c>
    </row>
    <row r="7" customFormat="false" ht="15" hidden="false" customHeight="false" outlineLevel="0" collapsed="false">
      <c r="A7" s="0" t="s">
        <v>354</v>
      </c>
      <c r="B7" s="0" t="s">
        <v>355</v>
      </c>
      <c r="C7" s="0" t="n">
        <f aca="false">4*6</f>
        <v>24</v>
      </c>
      <c r="D7" s="0" t="n">
        <f aca="false">Offer_Ladder!F10</f>
        <v>21000</v>
      </c>
      <c r="E7" s="0" t="n">
        <f aca="false">Offer_Ladder!F15</f>
        <v>0.263262476190476</v>
      </c>
      <c r="F7" s="0" t="n">
        <f aca="false">C7*D7*E7</f>
        <v>132684.288</v>
      </c>
      <c r="G7" s="2" t="n">
        <v>0</v>
      </c>
      <c r="H7" s="3" t="n">
        <f aca="false">F7-G7</f>
        <v>132684.288</v>
      </c>
      <c r="I7" s="3" t="s">
        <v>356</v>
      </c>
    </row>
    <row r="8" customFormat="false" ht="15" hidden="false" customHeight="false" outlineLevel="0" collapsed="false">
      <c r="A8" s="0" t="s">
        <v>357</v>
      </c>
      <c r="B8" s="0" t="s">
        <v>358</v>
      </c>
      <c r="C8" s="0" t="n">
        <v>12</v>
      </c>
      <c r="D8" s="0" t="n">
        <f aca="false">Offer_Ladder!C10</f>
        <v>30000</v>
      </c>
      <c r="E8" s="0" t="n">
        <f aca="false">Offer_Ladder!C15-0.05</f>
        <v>0.27716664710752</v>
      </c>
      <c r="F8" s="0" t="n">
        <f aca="false">C8*D8*E8</f>
        <v>99779.9929587073</v>
      </c>
      <c r="G8" s="2" t="n">
        <v>0</v>
      </c>
      <c r="H8" s="3" t="n">
        <f aca="false">F8-G8</f>
        <v>99779.9929587073</v>
      </c>
      <c r="I8" s="3" t="s">
        <v>26</v>
      </c>
    </row>
    <row r="9" customFormat="false" ht="15" hidden="false" customHeight="false" outlineLevel="0" collapsed="false">
      <c r="A9" s="0" t="s">
        <v>359</v>
      </c>
      <c r="B9" s="0" t="s">
        <v>360</v>
      </c>
      <c r="C9" s="0" t="n">
        <v>3</v>
      </c>
      <c r="D9" s="0" t="n">
        <v>50000</v>
      </c>
      <c r="E9" s="2" t="n">
        <v>0.25</v>
      </c>
      <c r="F9" s="3" t="n">
        <f aca="false">C9*D9*E9</f>
        <v>37500</v>
      </c>
      <c r="G9" s="2" t="n">
        <v>5000</v>
      </c>
      <c r="H9" s="3" t="n">
        <f aca="false">F9-G9</f>
        <v>32500</v>
      </c>
      <c r="I9" s="3" t="s">
        <v>361</v>
      </c>
    </row>
    <row r="10" customFormat="false" ht="15" hidden="false" customHeight="false" outlineLevel="0" collapsed="false">
      <c r="A10" s="0" t="s">
        <v>362</v>
      </c>
      <c r="B10" s="0" t="s">
        <v>363</v>
      </c>
      <c r="C10" s="0" t="n">
        <f aca="false">0.2*Strategy_Engine!N6</f>
        <v>16.6125</v>
      </c>
      <c r="D10" s="0" t="n">
        <f aca="false">Offer_Ladder!B10</f>
        <v>9500</v>
      </c>
      <c r="E10" s="0" t="n">
        <f aca="false">Offer_Ladder!B15</f>
        <v>0.39904947368421</v>
      </c>
      <c r="F10" s="0" t="n">
        <f aca="false">C10*D10*E10</f>
        <v>62977.489125</v>
      </c>
      <c r="G10" s="2" t="n">
        <v>6000</v>
      </c>
      <c r="H10" s="3" t="n">
        <f aca="false">F10-G10</f>
        <v>56977.489125</v>
      </c>
      <c r="I10" s="3" t="s">
        <v>364</v>
      </c>
    </row>
    <row r="11" customFormat="false" ht="15" hidden="false" customHeight="false" outlineLevel="0" collapsed="false">
      <c r="B11" s="4" t="s">
        <v>365</v>
      </c>
      <c r="H11" s="3" t="n">
        <f aca="false">SUM(H2:H10)-H7</f>
        <v>576202.755075259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102</v>
      </c>
      <c r="B1" s="1" t="s">
        <v>7</v>
      </c>
      <c r="C1" s="1" t="s">
        <v>105</v>
      </c>
    </row>
    <row r="2" customFormat="false" ht="15" hidden="false" customHeight="false" outlineLevel="0" collapsed="false">
      <c r="A2" s="0" t="s">
        <v>366</v>
      </c>
      <c r="B2" s="2" t="n">
        <v>152500</v>
      </c>
      <c r="C2" s="3" t="s">
        <v>367</v>
      </c>
    </row>
    <row r="3" customFormat="false" ht="15" hidden="false" customHeight="false" outlineLevel="0" collapsed="false">
      <c r="A3" s="0" t="s">
        <v>368</v>
      </c>
      <c r="B3" s="0" t="n">
        <f aca="false">B2*Inputs!$B$2/100</f>
        <v>244228.75</v>
      </c>
    </row>
    <row r="4" customFormat="false" ht="15" hidden="false" customHeight="false" outlineLevel="0" collapsed="false">
      <c r="A4" s="0" t="s">
        <v>369</v>
      </c>
      <c r="B4" s="0" t="n">
        <f aca="false">1.05*1.1*(1+IF(Inputs!$B$7=1,0,Inputs!$B$6))</f>
        <v>1.30515</v>
      </c>
      <c r="C4" s="0" t="s">
        <v>370</v>
      </c>
    </row>
    <row r="5" customFormat="false" ht="15" hidden="false" customHeight="false" outlineLevel="0" collapsed="false">
      <c r="A5" s="0" t="s">
        <v>371</v>
      </c>
      <c r="B5" s="0" t="n">
        <f aca="false">B3*B4</f>
        <v>318755.1530625</v>
      </c>
    </row>
    <row r="6" customFormat="false" ht="15" hidden="false" customHeight="false" outlineLevel="0" collapsed="false">
      <c r="A6" s="0" t="s">
        <v>372</v>
      </c>
      <c r="B6" s="2" t="n">
        <v>230216</v>
      </c>
      <c r="C6" s="3" t="s">
        <v>373</v>
      </c>
    </row>
    <row r="7" customFormat="false" ht="15" hidden="false" customHeight="false" outlineLevel="0" collapsed="false">
      <c r="A7" s="0" t="s">
        <v>374</v>
      </c>
      <c r="B7" s="0" t="n">
        <f aca="false">B5+B6</f>
        <v>548971.1530625</v>
      </c>
    </row>
    <row r="8" customFormat="false" ht="15" hidden="false" customHeight="false" outlineLevel="0" collapsed="false">
      <c r="A8" s="0" t="s">
        <v>375</v>
      </c>
      <c r="B8" s="2" t="n">
        <v>4</v>
      </c>
      <c r="C8" s="3" t="s">
        <v>376</v>
      </c>
    </row>
    <row r="9" customFormat="false" ht="15" hidden="false" customHeight="false" outlineLevel="0" collapsed="false">
      <c r="A9" s="0" t="s">
        <v>377</v>
      </c>
      <c r="B9" s="2" t="n">
        <v>1.5</v>
      </c>
      <c r="C9" s="3" t="s">
        <v>378</v>
      </c>
    </row>
    <row r="10" customFormat="false" ht="15" hidden="false" customHeight="false" outlineLevel="0" collapsed="false">
      <c r="A10" s="0" t="s">
        <v>379</v>
      </c>
      <c r="B10" s="2" t="n">
        <v>0.4</v>
      </c>
      <c r="C10" s="3" t="s">
        <v>26</v>
      </c>
    </row>
    <row r="11" customFormat="false" ht="15" hidden="false" customHeight="false" outlineLevel="0" collapsed="false">
      <c r="A11" s="0" t="s">
        <v>380</v>
      </c>
      <c r="B11" s="0" t="n">
        <f aca="false">B8-B9-B10</f>
        <v>2.1</v>
      </c>
    </row>
    <row r="12" customFormat="false" ht="15" hidden="false" customHeight="false" outlineLevel="0" collapsed="false">
      <c r="A12" s="0" t="s">
        <v>381</v>
      </c>
      <c r="B12" s="0" t="n">
        <f aca="false">B7/B11</f>
        <v>261414.834791667</v>
      </c>
    </row>
    <row r="13" customFormat="false" ht="15" hidden="false" customHeight="false" outlineLevel="0" collapsed="false">
      <c r="A13" s="0" t="s">
        <v>382</v>
      </c>
      <c r="B13" s="0" t="n">
        <f aca="false">Strategy_Engine!N6*Offer_Ladder!B3</f>
        <v>8306.25</v>
      </c>
    </row>
    <row r="14" customFormat="false" ht="15" hidden="false" customHeight="false" outlineLevel="0" collapsed="false">
      <c r="A14" s="0" t="s">
        <v>383</v>
      </c>
      <c r="B14" s="0" t="n">
        <f aca="false">B12/B13</f>
        <v>31.4720643842488</v>
      </c>
    </row>
    <row r="15" customFormat="false" ht="15" hidden="false" customHeight="false" outlineLevel="0" collapsed="false">
      <c r="A15" s="0" t="s">
        <v>143</v>
      </c>
      <c r="B15" s="0" t="str">
        <f aca="false">IF(B14&lt;=1.5,"Consider after pilot gate","Do NOT buy: payback too long - keep outsourcing")</f>
        <v>Do NOT buy: payback too long - keep outsourcing</v>
      </c>
      <c r="C15" s="0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9" min="3" style="0" width="8"/>
    <col collapsed="false" customWidth="true" hidden="false" outlineLevel="0" max="10" min="10" style="0" width="10"/>
    <col collapsed="false" customWidth="true" hidden="false" outlineLevel="0" max="12" min="11" style="0" width="44"/>
    <col collapsed="false" customWidth="true" hidden="false" outlineLevel="0" max="13" min="13" style="0" width="10"/>
  </cols>
  <sheetData>
    <row r="1" customFormat="false" ht="41.75" hidden="false" customHeight="false" outlineLevel="0" collapsed="false">
      <c r="A1" s="1" t="s">
        <v>385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397</v>
      </c>
    </row>
    <row r="2" customFormat="false" ht="15" hidden="false" customHeight="false" outlineLevel="0" collapsed="false">
      <c r="A2" s="0" t="s">
        <v>112</v>
      </c>
      <c r="B2" s="0" t="s">
        <v>398</v>
      </c>
      <c r="C2" s="2" t="n">
        <v>2</v>
      </c>
      <c r="D2" s="2" t="n">
        <v>0</v>
      </c>
      <c r="E2" s="2" t="n">
        <v>3</v>
      </c>
      <c r="F2" s="2" t="n">
        <v>2</v>
      </c>
      <c r="G2" s="2" t="n">
        <v>1</v>
      </c>
      <c r="H2" s="2" t="n">
        <v>0</v>
      </c>
      <c r="I2" s="2" t="n">
        <v>3</v>
      </c>
      <c r="J2" s="3" t="n">
        <f aca="false">SUM(C2:I2)</f>
        <v>11</v>
      </c>
      <c r="K2" s="3" t="s">
        <v>399</v>
      </c>
      <c r="L2" s="3" t="s">
        <v>400</v>
      </c>
      <c r="M2" s="3" t="s">
        <v>68</v>
      </c>
    </row>
    <row r="3" customFormat="false" ht="15" hidden="false" customHeight="false" outlineLevel="0" collapsed="false">
      <c r="A3" s="0" t="s">
        <v>401</v>
      </c>
      <c r="B3" s="0" t="s">
        <v>398</v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1</v>
      </c>
      <c r="H3" s="2" t="n">
        <v>1</v>
      </c>
      <c r="I3" s="2" t="n">
        <v>3</v>
      </c>
      <c r="J3" s="3" t="n">
        <f aca="false">SUM(C3:I3)</f>
        <v>8</v>
      </c>
      <c r="K3" s="3" t="s">
        <v>402</v>
      </c>
      <c r="L3" s="3" t="s">
        <v>403</v>
      </c>
      <c r="M3" s="3" t="s">
        <v>86</v>
      </c>
    </row>
    <row r="4" customFormat="false" ht="15" hidden="false" customHeight="false" outlineLevel="0" collapsed="false">
      <c r="A4" s="0" t="s">
        <v>404</v>
      </c>
      <c r="B4" s="0" t="s">
        <v>398</v>
      </c>
      <c r="C4" s="2" t="n">
        <v>1</v>
      </c>
      <c r="D4" s="2" t="n">
        <v>2</v>
      </c>
      <c r="E4" s="2" t="n">
        <v>1</v>
      </c>
      <c r="F4" s="2" t="n">
        <v>2</v>
      </c>
      <c r="G4" s="2" t="n">
        <v>2</v>
      </c>
      <c r="H4" s="2" t="n">
        <v>1</v>
      </c>
      <c r="I4" s="2" t="n">
        <v>2</v>
      </c>
      <c r="J4" s="3" t="n">
        <f aca="false">SUM(C4:I4)</f>
        <v>11</v>
      </c>
      <c r="K4" s="3" t="s">
        <v>405</v>
      </c>
      <c r="L4" s="3" t="s">
        <v>406</v>
      </c>
      <c r="M4" s="3" t="s">
        <v>68</v>
      </c>
    </row>
    <row r="5" customFormat="false" ht="15" hidden="false" customHeight="false" outlineLevel="0" collapsed="false">
      <c r="A5" s="0" t="s">
        <v>407</v>
      </c>
      <c r="B5" s="0" t="s">
        <v>398</v>
      </c>
      <c r="C5" s="2" t="n">
        <v>1</v>
      </c>
      <c r="D5" s="2" t="n">
        <v>2</v>
      </c>
      <c r="E5" s="2" t="n">
        <v>0</v>
      </c>
      <c r="F5" s="2" t="n">
        <v>1</v>
      </c>
      <c r="G5" s="2" t="n">
        <v>2</v>
      </c>
      <c r="H5" s="2" t="n">
        <v>1</v>
      </c>
      <c r="I5" s="2" t="n">
        <v>3</v>
      </c>
      <c r="J5" s="3" t="n">
        <f aca="false">SUM(C5:I5)</f>
        <v>10</v>
      </c>
      <c r="K5" s="3" t="s">
        <v>408</v>
      </c>
      <c r="L5" s="3" t="s">
        <v>409</v>
      </c>
      <c r="M5" s="3" t="s">
        <v>86</v>
      </c>
    </row>
    <row r="6" customFormat="false" ht="15" hidden="false" customHeight="false" outlineLevel="0" collapsed="false">
      <c r="A6" s="0" t="s">
        <v>410</v>
      </c>
      <c r="B6" s="0" t="s">
        <v>398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2</v>
      </c>
      <c r="H6" s="2" t="n">
        <v>0</v>
      </c>
      <c r="I6" s="2" t="n">
        <v>3</v>
      </c>
      <c r="J6" s="3" t="n">
        <f aca="false">SUM(C6:I6)</f>
        <v>6</v>
      </c>
      <c r="K6" s="3" t="s">
        <v>411</v>
      </c>
      <c r="L6" s="3" t="s">
        <v>412</v>
      </c>
      <c r="M6" s="3" t="s">
        <v>86</v>
      </c>
    </row>
    <row r="7" customFormat="false" ht="15" hidden="false" customHeight="false" outlineLevel="0" collapsed="false">
      <c r="A7" s="0" t="s">
        <v>413</v>
      </c>
      <c r="B7" s="0" t="s">
        <v>398</v>
      </c>
      <c r="C7" s="2" t="n">
        <v>0</v>
      </c>
      <c r="D7" s="2" t="n">
        <v>0</v>
      </c>
      <c r="E7" s="2" t="n">
        <v>0</v>
      </c>
      <c r="F7" s="2" t="n">
        <v>1</v>
      </c>
      <c r="G7" s="2" t="n">
        <v>1</v>
      </c>
      <c r="H7" s="2" t="n">
        <v>1</v>
      </c>
      <c r="I7" s="2" t="n">
        <v>3</v>
      </c>
      <c r="J7" s="3" t="n">
        <f aca="false">SUM(C7:I7)</f>
        <v>6</v>
      </c>
      <c r="K7" s="3" t="s">
        <v>414</v>
      </c>
      <c r="L7" s="3" t="s">
        <v>415</v>
      </c>
      <c r="M7" s="3" t="s">
        <v>86</v>
      </c>
    </row>
    <row r="8" customFormat="false" ht="15" hidden="false" customHeight="false" outlineLevel="0" collapsed="false">
      <c r="A8" s="0" t="s">
        <v>416</v>
      </c>
      <c r="B8" s="0" t="s">
        <v>398</v>
      </c>
      <c r="C8" s="2" t="n">
        <v>1</v>
      </c>
      <c r="D8" s="2" t="n">
        <v>0</v>
      </c>
      <c r="E8" s="2" t="n">
        <v>0</v>
      </c>
      <c r="F8" s="2" t="n">
        <v>1</v>
      </c>
      <c r="G8" s="2" t="n">
        <v>1</v>
      </c>
      <c r="H8" s="2" t="n">
        <v>2</v>
      </c>
      <c r="I8" s="2" t="n">
        <v>3</v>
      </c>
      <c r="J8" s="3" t="n">
        <f aca="false">SUM(C8:I8)</f>
        <v>8</v>
      </c>
      <c r="K8" s="3" t="s">
        <v>417</v>
      </c>
      <c r="L8" s="3" t="s">
        <v>418</v>
      </c>
      <c r="M8" s="3" t="s">
        <v>86</v>
      </c>
    </row>
    <row r="9" customFormat="false" ht="15" hidden="false" customHeight="false" outlineLevel="0" collapsed="false">
      <c r="A9" s="0" t="s">
        <v>67</v>
      </c>
      <c r="B9" s="0" t="s">
        <v>419</v>
      </c>
      <c r="C9" s="2" t="n">
        <v>3</v>
      </c>
      <c r="D9" s="2" t="n">
        <v>1</v>
      </c>
      <c r="E9" s="2" t="n">
        <v>3</v>
      </c>
      <c r="F9" s="2" t="n">
        <v>2</v>
      </c>
      <c r="G9" s="2" t="n">
        <v>3</v>
      </c>
      <c r="H9" s="2" t="n">
        <v>2</v>
      </c>
      <c r="I9" s="2" t="n">
        <v>0</v>
      </c>
      <c r="J9" s="3" t="n">
        <f aca="false">SUM(C9:I9)</f>
        <v>14</v>
      </c>
      <c r="K9" s="3" t="s">
        <v>420</v>
      </c>
      <c r="L9" s="3" t="s">
        <v>421</v>
      </c>
      <c r="M9" s="3" t="s">
        <v>68</v>
      </c>
    </row>
    <row r="10" customFormat="false" ht="15" hidden="false" customHeight="false" outlineLevel="0" collapsed="false">
      <c r="A10" s="0" t="s">
        <v>80</v>
      </c>
      <c r="B10" s="0" t="s">
        <v>419</v>
      </c>
      <c r="C10" s="2" t="n">
        <v>3</v>
      </c>
      <c r="D10" s="2" t="n">
        <v>2</v>
      </c>
      <c r="E10" s="2" t="n">
        <v>3</v>
      </c>
      <c r="F10" s="2" t="n">
        <v>2</v>
      </c>
      <c r="G10" s="2" t="n">
        <v>2</v>
      </c>
      <c r="H10" s="2" t="n">
        <v>1</v>
      </c>
      <c r="I10" s="2" t="n">
        <v>0</v>
      </c>
      <c r="J10" s="3" t="n">
        <f aca="false">SUM(C10:I10)</f>
        <v>13</v>
      </c>
      <c r="K10" s="3" t="s">
        <v>422</v>
      </c>
      <c r="L10" s="3" t="s">
        <v>423</v>
      </c>
      <c r="M10" s="3" t="s">
        <v>68</v>
      </c>
    </row>
    <row r="11" customFormat="false" ht="15" hidden="false" customHeight="false" outlineLevel="0" collapsed="false">
      <c r="A11" s="0" t="s">
        <v>424</v>
      </c>
      <c r="B11" s="0" t="s">
        <v>419</v>
      </c>
      <c r="C11" s="2" t="n">
        <v>3</v>
      </c>
      <c r="D11" s="2" t="n">
        <v>2</v>
      </c>
      <c r="E11" s="2" t="n">
        <v>1</v>
      </c>
      <c r="F11" s="2" t="n">
        <v>2</v>
      </c>
      <c r="G11" s="2" t="n">
        <v>1</v>
      </c>
      <c r="H11" s="2" t="n">
        <v>1</v>
      </c>
      <c r="I11" s="2" t="n">
        <v>0</v>
      </c>
      <c r="J11" s="3" t="n">
        <f aca="false">SUM(C11:I11)</f>
        <v>10</v>
      </c>
      <c r="K11" s="3" t="s">
        <v>425</v>
      </c>
      <c r="L11" s="3" t="s">
        <v>426</v>
      </c>
      <c r="M11" s="3" t="s">
        <v>86</v>
      </c>
    </row>
    <row r="12" customFormat="false" ht="15" hidden="false" customHeight="false" outlineLevel="0" collapsed="false">
      <c r="A12" s="0" t="s">
        <v>427</v>
      </c>
      <c r="B12" s="0" t="s">
        <v>419</v>
      </c>
      <c r="C12" s="2" t="n">
        <v>1</v>
      </c>
      <c r="D12" s="2" t="n">
        <v>0</v>
      </c>
      <c r="E12" s="2" t="n">
        <v>2</v>
      </c>
      <c r="F12" s="2" t="n">
        <v>1</v>
      </c>
      <c r="G12" s="2" t="n">
        <v>2</v>
      </c>
      <c r="H12" s="2" t="n">
        <v>0</v>
      </c>
      <c r="I12" s="2" t="n">
        <v>0</v>
      </c>
      <c r="J12" s="3" t="n">
        <f aca="false">SUM(C12:I12)</f>
        <v>6</v>
      </c>
      <c r="K12" s="3" t="s">
        <v>428</v>
      </c>
      <c r="L12" s="3" t="s">
        <v>429</v>
      </c>
      <c r="M12" s="3" t="s">
        <v>86</v>
      </c>
    </row>
    <row r="14" customFormat="false" ht="15" hidden="false" customHeight="false" outlineLevel="0" collapsed="false">
      <c r="A14" s="4" t="s">
        <v>430</v>
      </c>
      <c r="B14" s="3" t="s">
        <v>398</v>
      </c>
      <c r="C14" s="2" t="n">
        <v>3</v>
      </c>
      <c r="D14" s="2" t="n">
        <v>3</v>
      </c>
      <c r="E14" s="2" t="n">
        <v>3</v>
      </c>
      <c r="F14" s="2" t="n">
        <v>2</v>
      </c>
      <c r="G14" s="2" t="n">
        <v>2</v>
      </c>
      <c r="H14" s="2" t="n">
        <v>1</v>
      </c>
      <c r="I14" s="2" t="n">
        <v>3</v>
      </c>
      <c r="J14" s="3" t="n">
        <f aca="false">SUM(C14:I14)</f>
        <v>17</v>
      </c>
      <c r="K14" s="3" t="s">
        <v>431</v>
      </c>
      <c r="L14" s="3" t="s">
        <v>432</v>
      </c>
    </row>
    <row r="15" customFormat="false" ht="15" hidden="false" customHeight="false" outlineLevel="0" collapsed="false">
      <c r="A15" s="5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6" min="3" style="0" width="1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28.35" hidden="false" customHeight="false" outlineLevel="0" collapsed="false">
      <c r="A1" s="1" t="s">
        <v>295</v>
      </c>
      <c r="B1" s="1" t="s">
        <v>434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</row>
    <row r="2" customFormat="false" ht="15" hidden="false" customHeight="false" outlineLevel="0" collapsed="false">
      <c r="A2" s="0" t="s">
        <v>441</v>
      </c>
      <c r="B2" s="0" t="s">
        <v>442</v>
      </c>
      <c r="C2" s="2" t="n">
        <v>8</v>
      </c>
      <c r="D2" s="2" t="n">
        <v>6</v>
      </c>
      <c r="E2" s="2" t="n">
        <v>9</v>
      </c>
      <c r="F2" s="3" t="n">
        <f aca="false">C2*D2*E2</f>
        <v>432</v>
      </c>
      <c r="G2" s="3" t="n">
        <f aca="false">RANK(F2,$F$2:$F$15)</f>
        <v>2</v>
      </c>
      <c r="H2" s="3" t="s">
        <v>443</v>
      </c>
    </row>
    <row r="3" customFormat="false" ht="15" hidden="false" customHeight="false" outlineLevel="0" collapsed="false">
      <c r="A3" s="0" t="s">
        <v>444</v>
      </c>
      <c r="B3" s="0" t="s">
        <v>445</v>
      </c>
      <c r="C3" s="2" t="n">
        <v>9</v>
      </c>
      <c r="D3" s="2" t="n">
        <v>9</v>
      </c>
      <c r="E3" s="2" t="n">
        <v>8</v>
      </c>
      <c r="F3" s="3" t="n">
        <f aca="false">C3*D3*E3</f>
        <v>648</v>
      </c>
      <c r="G3" s="3" t="n">
        <f aca="false">RANK(F3,$F$2:$F$15)</f>
        <v>1</v>
      </c>
      <c r="H3" s="3" t="s">
        <v>446</v>
      </c>
    </row>
    <row r="4" customFormat="false" ht="15" hidden="false" customHeight="false" outlineLevel="0" collapsed="false">
      <c r="A4" s="0" t="s">
        <v>447</v>
      </c>
      <c r="B4" s="0" t="s">
        <v>448</v>
      </c>
      <c r="C4" s="2" t="n">
        <v>8</v>
      </c>
      <c r="D4" s="2" t="n">
        <v>4</v>
      </c>
      <c r="E4" s="2" t="n">
        <v>6</v>
      </c>
      <c r="F4" s="3" t="n">
        <f aca="false">C4*D4*E4</f>
        <v>192</v>
      </c>
      <c r="G4" s="3" t="n">
        <f aca="false">RANK(F4,$F$2:$F$15)</f>
        <v>9</v>
      </c>
      <c r="H4" s="3" t="s">
        <v>449</v>
      </c>
    </row>
    <row r="5" customFormat="false" ht="15" hidden="false" customHeight="false" outlineLevel="0" collapsed="false">
      <c r="A5" s="0" t="s">
        <v>450</v>
      </c>
      <c r="B5" s="0" t="s">
        <v>451</v>
      </c>
      <c r="C5" s="2" t="n">
        <v>7</v>
      </c>
      <c r="D5" s="2" t="n">
        <v>7</v>
      </c>
      <c r="E5" s="2" t="n">
        <v>8</v>
      </c>
      <c r="F5" s="3" t="n">
        <f aca="false">C5*D5*E5</f>
        <v>392</v>
      </c>
      <c r="G5" s="3" t="n">
        <f aca="false">RANK(F5,$F$2:$F$15)</f>
        <v>3</v>
      </c>
      <c r="H5" s="3" t="s">
        <v>452</v>
      </c>
    </row>
    <row r="6" customFormat="false" ht="15" hidden="false" customHeight="false" outlineLevel="0" collapsed="false">
      <c r="A6" s="0" t="s">
        <v>453</v>
      </c>
      <c r="B6" s="0" t="s">
        <v>454</v>
      </c>
      <c r="C6" s="2" t="n">
        <v>7</v>
      </c>
      <c r="D6" s="2" t="n">
        <v>4</v>
      </c>
      <c r="E6" s="2" t="n">
        <v>5</v>
      </c>
      <c r="F6" s="3" t="n">
        <f aca="false">C6*D6*E6</f>
        <v>140</v>
      </c>
      <c r="G6" s="3" t="n">
        <f aca="false">RANK(F6,$F$2:$F$15)</f>
        <v>11</v>
      </c>
      <c r="H6" s="3" t="s">
        <v>455</v>
      </c>
    </row>
    <row r="7" customFormat="false" ht="15" hidden="false" customHeight="false" outlineLevel="0" collapsed="false">
      <c r="A7" s="0" t="s">
        <v>456</v>
      </c>
      <c r="B7" s="0" t="s">
        <v>457</v>
      </c>
      <c r="C7" s="2" t="n">
        <v>6</v>
      </c>
      <c r="D7" s="2" t="n">
        <v>6</v>
      </c>
      <c r="E7" s="2" t="n">
        <v>8</v>
      </c>
      <c r="F7" s="3" t="n">
        <f aca="false">C7*D7*E7</f>
        <v>288</v>
      </c>
      <c r="G7" s="3" t="n">
        <f aca="false">RANK(F7,$F$2:$F$15)</f>
        <v>6</v>
      </c>
      <c r="H7" s="3" t="s">
        <v>458</v>
      </c>
    </row>
    <row r="8" customFormat="false" ht="15" hidden="false" customHeight="false" outlineLevel="0" collapsed="false">
      <c r="A8" s="0" t="s">
        <v>459</v>
      </c>
      <c r="B8" s="0" t="s">
        <v>460</v>
      </c>
      <c r="C8" s="2" t="n">
        <v>6</v>
      </c>
      <c r="D8" s="2" t="n">
        <v>6</v>
      </c>
      <c r="E8" s="2" t="n">
        <v>6</v>
      </c>
      <c r="F8" s="3" t="n">
        <f aca="false">C8*D8*E8</f>
        <v>216</v>
      </c>
      <c r="G8" s="3" t="n">
        <f aca="false">RANK(F8,$F$2:$F$15)</f>
        <v>7</v>
      </c>
      <c r="H8" s="3" t="s">
        <v>461</v>
      </c>
    </row>
    <row r="9" customFormat="false" ht="15" hidden="false" customHeight="false" outlineLevel="0" collapsed="false">
      <c r="A9" s="0" t="s">
        <v>462</v>
      </c>
      <c r="B9" s="0" t="s">
        <v>463</v>
      </c>
      <c r="C9" s="2" t="n">
        <v>5</v>
      </c>
      <c r="D9" s="2" t="n">
        <v>7</v>
      </c>
      <c r="E9" s="2" t="n">
        <v>9</v>
      </c>
      <c r="F9" s="3" t="n">
        <f aca="false">C9*D9*E9</f>
        <v>315</v>
      </c>
      <c r="G9" s="3" t="n">
        <f aca="false">RANK(F9,$F$2:$F$15)</f>
        <v>5</v>
      </c>
      <c r="H9" s="3" t="s">
        <v>464</v>
      </c>
    </row>
    <row r="10" customFormat="false" ht="15" hidden="false" customHeight="false" outlineLevel="0" collapsed="false">
      <c r="A10" s="0" t="s">
        <v>465</v>
      </c>
      <c r="B10" s="0" t="s">
        <v>466</v>
      </c>
      <c r="C10" s="2" t="n">
        <v>6</v>
      </c>
      <c r="D10" s="2" t="n">
        <v>7</v>
      </c>
      <c r="E10" s="2" t="n">
        <v>9</v>
      </c>
      <c r="F10" s="3" t="n">
        <f aca="false">C10*D10*E10</f>
        <v>378</v>
      </c>
      <c r="G10" s="3" t="n">
        <f aca="false">RANK(F10,$F$2:$F$15)</f>
        <v>4</v>
      </c>
      <c r="H10" s="3" t="s">
        <v>467</v>
      </c>
    </row>
    <row r="11" customFormat="false" ht="15" hidden="false" customHeight="false" outlineLevel="0" collapsed="false">
      <c r="A11" s="0" t="s">
        <v>468</v>
      </c>
      <c r="B11" s="0" t="s">
        <v>469</v>
      </c>
      <c r="C11" s="2" t="n">
        <v>7</v>
      </c>
      <c r="D11" s="2" t="n">
        <v>5</v>
      </c>
      <c r="E11" s="2" t="n">
        <v>6</v>
      </c>
      <c r="F11" s="3" t="n">
        <f aca="false">C11*D11*E11</f>
        <v>210</v>
      </c>
      <c r="G11" s="3" t="n">
        <f aca="false">RANK(F11,$F$2:$F$15)</f>
        <v>8</v>
      </c>
      <c r="H11" s="3" t="s">
        <v>470</v>
      </c>
    </row>
    <row r="12" customFormat="false" ht="15" hidden="false" customHeight="false" outlineLevel="0" collapsed="false">
      <c r="A12" s="0" t="s">
        <v>471</v>
      </c>
      <c r="B12" s="0" t="s">
        <v>472</v>
      </c>
      <c r="C12" s="2" t="n">
        <v>6</v>
      </c>
      <c r="D12" s="2" t="n">
        <v>4</v>
      </c>
      <c r="E12" s="2" t="n">
        <v>5</v>
      </c>
      <c r="F12" s="3" t="n">
        <f aca="false">C12*D12*E12</f>
        <v>120</v>
      </c>
      <c r="G12" s="3" t="n">
        <f aca="false">RANK(F12,$F$2:$F$15)</f>
        <v>12</v>
      </c>
      <c r="H12" s="3" t="s">
        <v>473</v>
      </c>
    </row>
    <row r="13" customFormat="false" ht="15" hidden="false" customHeight="false" outlineLevel="0" collapsed="false">
      <c r="A13" s="0" t="s">
        <v>474</v>
      </c>
      <c r="B13" s="0" t="s">
        <v>475</v>
      </c>
      <c r="C13" s="2" t="n">
        <v>5</v>
      </c>
      <c r="D13" s="2" t="n">
        <v>5</v>
      </c>
      <c r="E13" s="2" t="n">
        <v>7</v>
      </c>
      <c r="F13" s="3" t="n">
        <f aca="false">C13*D13*E13</f>
        <v>175</v>
      </c>
      <c r="G13" s="3" t="n">
        <f aca="false">RANK(F13,$F$2:$F$15)</f>
        <v>10</v>
      </c>
      <c r="H13" s="3" t="s">
        <v>476</v>
      </c>
    </row>
    <row r="14" customFormat="false" ht="15" hidden="false" customHeight="false" outlineLevel="0" collapsed="false">
      <c r="A14" s="0" t="s">
        <v>477</v>
      </c>
      <c r="B14" s="0" t="s">
        <v>478</v>
      </c>
      <c r="C14" s="2" t="n">
        <v>4</v>
      </c>
      <c r="D14" s="2" t="n">
        <v>3</v>
      </c>
      <c r="E14" s="2" t="n">
        <v>3</v>
      </c>
      <c r="F14" s="3" t="n">
        <f aca="false">C14*D14*E14</f>
        <v>36</v>
      </c>
      <c r="G14" s="3" t="n">
        <f aca="false">RANK(F14,$F$2:$F$15)</f>
        <v>14</v>
      </c>
      <c r="H14" s="3" t="s">
        <v>479</v>
      </c>
    </row>
    <row r="15" customFormat="false" ht="15" hidden="false" customHeight="false" outlineLevel="0" collapsed="false">
      <c r="A15" s="0" t="s">
        <v>480</v>
      </c>
      <c r="B15" s="0" t="s">
        <v>481</v>
      </c>
      <c r="C15" s="2" t="n">
        <v>2</v>
      </c>
      <c r="D15" s="2" t="n">
        <v>8</v>
      </c>
      <c r="E15" s="2" t="n">
        <v>7</v>
      </c>
      <c r="F15" s="3" t="n">
        <f aca="false">C15*D15*E15</f>
        <v>112</v>
      </c>
      <c r="G15" s="3" t="n">
        <f aca="false">RANK(F15,$F$2:$F$15)</f>
        <v>13</v>
      </c>
      <c r="H15" s="3" t="s">
        <v>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483</v>
      </c>
      <c r="B1" s="1" t="s">
        <v>484</v>
      </c>
      <c r="C1" s="1" t="s">
        <v>485</v>
      </c>
      <c r="D1" s="1" t="s">
        <v>486</v>
      </c>
      <c r="E1" s="1" t="s">
        <v>487</v>
      </c>
    </row>
    <row r="2" customFormat="false" ht="15" hidden="false" customHeight="false" outlineLevel="0" collapsed="false">
      <c r="A2" s="0" t="s">
        <v>488</v>
      </c>
      <c r="B2" s="2" t="n">
        <v>150</v>
      </c>
      <c r="C2" s="2" t="n">
        <v>250</v>
      </c>
      <c r="D2" s="2" t="n">
        <v>350</v>
      </c>
      <c r="E2" s="3" t="s">
        <v>489</v>
      </c>
    </row>
    <row r="3" customFormat="false" ht="15" hidden="false" customHeight="false" outlineLevel="0" collapsed="false">
      <c r="A3" s="0" t="s">
        <v>490</v>
      </c>
      <c r="B3" s="2" t="n">
        <v>60</v>
      </c>
      <c r="C3" s="2" t="n">
        <v>140</v>
      </c>
      <c r="D3" s="2" t="n">
        <v>240</v>
      </c>
      <c r="E3" s="3" t="s">
        <v>491</v>
      </c>
    </row>
    <row r="4" customFormat="false" ht="15" hidden="false" customHeight="false" outlineLevel="0" collapsed="false">
      <c r="A4" s="0" t="s">
        <v>492</v>
      </c>
      <c r="B4" s="2" t="n">
        <v>8</v>
      </c>
      <c r="C4" s="2" t="n">
        <v>20</v>
      </c>
      <c r="D4" s="2" t="n">
        <v>35</v>
      </c>
      <c r="E4" s="3" t="s">
        <v>493</v>
      </c>
    </row>
    <row r="5" customFormat="false" ht="15" hidden="false" customHeight="false" outlineLevel="0" collapsed="false">
      <c r="A5" s="0" t="s">
        <v>494</v>
      </c>
      <c r="B5" s="2" t="n">
        <v>2</v>
      </c>
      <c r="C5" s="2" t="n">
        <v>6</v>
      </c>
      <c r="D5" s="2" t="n">
        <v>12</v>
      </c>
      <c r="E5" s="3" t="s">
        <v>495</v>
      </c>
    </row>
    <row r="6" customFormat="false" ht="15" hidden="false" customHeight="false" outlineLevel="0" collapsed="false">
      <c r="A6" s="0" t="s">
        <v>496</v>
      </c>
      <c r="B6" s="2" t="n">
        <v>15000</v>
      </c>
      <c r="C6" s="2" t="n">
        <v>60000</v>
      </c>
      <c r="D6" s="2" t="n">
        <v>130000</v>
      </c>
      <c r="E6" s="3" t="s">
        <v>497</v>
      </c>
    </row>
    <row r="7" customFormat="false" ht="15" hidden="false" customHeight="false" outlineLevel="0" collapsed="false">
      <c r="A7" s="0" t="s">
        <v>498</v>
      </c>
      <c r="B7" s="2" t="n">
        <v>0.35</v>
      </c>
      <c r="C7" s="2" t="n">
        <v>0.35</v>
      </c>
      <c r="D7" s="2" t="n">
        <v>0.35</v>
      </c>
      <c r="E7" s="3" t="s">
        <v>499</v>
      </c>
    </row>
    <row r="8" customFormat="false" ht="15" hidden="false" customHeight="false" outlineLevel="0" collapsed="false">
      <c r="A8" s="0" t="s">
        <v>500</v>
      </c>
      <c r="B8" s="2" t="n">
        <v>3000</v>
      </c>
      <c r="C8" s="2" t="n">
        <v>3000</v>
      </c>
      <c r="D8" s="2" t="n">
        <v>3000</v>
      </c>
      <c r="E8" s="3" t="s">
        <v>501</v>
      </c>
    </row>
    <row r="9" customFormat="false" ht="15" hidden="false" customHeight="false" outlineLevel="0" collapsed="false">
      <c r="A9" s="0" t="s">
        <v>502</v>
      </c>
      <c r="B9" s="2" t="n">
        <v>0</v>
      </c>
      <c r="C9" s="2" t="n">
        <v>0.15</v>
      </c>
      <c r="D9" s="2" t="n">
        <v>0.25</v>
      </c>
      <c r="E9" s="3" t="s">
        <v>503</v>
      </c>
    </row>
    <row r="10" customFormat="false" ht="15" hidden="false" customHeight="false" outlineLevel="0" collapsed="false">
      <c r="A10" s="0" t="s">
        <v>504</v>
      </c>
      <c r="B10" s="2" t="n">
        <v>0.9</v>
      </c>
      <c r="C10" s="2" t="n">
        <v>0.9</v>
      </c>
      <c r="D10" s="2" t="n">
        <v>0.95</v>
      </c>
      <c r="E10" s="3" t="s">
        <v>505</v>
      </c>
    </row>
    <row r="11" customFormat="false" ht="15" hidden="false" customHeight="false" outlineLevel="0" collapsed="false">
      <c r="A11" s="0" t="s">
        <v>506</v>
      </c>
      <c r="B11" s="2" t="n">
        <v>200000</v>
      </c>
      <c r="C11" s="2" t="n">
        <v>170000</v>
      </c>
      <c r="D11" s="2" t="n">
        <v>150000</v>
      </c>
      <c r="E11" s="3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508</v>
      </c>
      <c r="B1" s="1" t="s">
        <v>509</v>
      </c>
    </row>
    <row r="2" customFormat="false" ht="15" hidden="false" customHeight="false" outlineLevel="0" collapsed="false">
      <c r="A2" s="0" t="s">
        <v>510</v>
      </c>
      <c r="B2" s="0" t="str">
        <f aca="false">IF(Capital_Plan!B16=500000,"OK","ERROR")</f>
        <v>OK</v>
      </c>
    </row>
    <row r="3" customFormat="false" ht="15" hidden="false" customHeight="false" outlineLevel="0" collapsed="false">
      <c r="A3" s="0" t="s">
        <v>511</v>
      </c>
      <c r="B3" s="0" t="str">
        <f aca="false">IF(Capital_Plan!B15&gt;0,"OK","ERROR")</f>
        <v>OK</v>
      </c>
    </row>
    <row r="4" customFormat="false" ht="15" hidden="false" customHeight="false" outlineLevel="0" collapsed="false">
      <c r="A4" s="0" t="s">
        <v>512</v>
      </c>
      <c r="B4" s="0" t="str">
        <f aca="false">IF(ABS(Strategy_Engine!N55-(Strategy_Engine!N7+Strategy_Engine!N17+Strategy_Engine!N27+Strategy_Engine!N37+Strategy_Engine!N47))&lt;1,"OK","ERROR")</f>
        <v>OK</v>
      </c>
    </row>
    <row r="5" customFormat="false" ht="15" hidden="false" customHeight="false" outlineLevel="0" collapsed="false">
      <c r="A5" s="0" t="s">
        <v>513</v>
      </c>
      <c r="B5" s="0" t="str">
        <f aca="false">IF(ABS(Strategy_Engine!M72-(Capital_Plan!B15+Strategy_Engine!N71))&lt;1,"OK","ERROR")</f>
        <v>OK</v>
      </c>
    </row>
    <row r="6" customFormat="false" ht="15" hidden="false" customHeight="false" outlineLevel="0" collapsed="false">
      <c r="A6" s="0" t="s">
        <v>514</v>
      </c>
      <c r="B6" s="0" t="str">
        <f aca="false">IF(AND(MIN(Offer_Ladder!B12:F12)&gt;0,MAX(Offer_Ladder!B12:F12)&lt;1),"OK","ERROR")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2026-10-23T04:58:58Z</dcterms:created>
  <dc:creator>openpyxl</dc:creator>
  <dc:description/>
  <dc:language>en-US</dc:language>
  <cp:lastModifiedBy/>
  <dcterms:modified xsi:type="dcterms:W3CDTF">2026-10-23T04:58:58Z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