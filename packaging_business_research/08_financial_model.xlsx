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Assumptions" sheetId="2" state="visible" r:id="rId4"/>
    <sheet name="Scenario_Inputs" sheetId="3" state="visible" r:id="rId5"/>
    <sheet name="Capital_Allocation" sheetId="4" state="visible" r:id="rId6"/>
    <sheet name="Machinery" sheetId="5" state="visible" r:id="rId7"/>
    <sheet name="Product_Pricing" sheetId="6" state="visible" r:id="rId8"/>
    <sheet name="Engine" sheetId="7" state="visible" r:id="rId9"/>
    <sheet name="Revenue_Forecast" sheetId="8" state="visible" r:id="rId10"/>
    <sheet name="Monthly_Sales_Assumptions" sheetId="9" state="visible" r:id="rId11"/>
    <sheet name="Opex" sheetId="10" state="visible" r:id="rId12"/>
    <sheet name="Profit_and_Loss" sheetId="11" state="visible" r:id="rId13"/>
    <sheet name="Cash_Flow" sheetId="12" state="visible" r:id="rId14"/>
    <sheet name="Working_Capital" sheetId="13" state="visible" r:id="rId15"/>
    <sheet name="Break_Even" sheetId="14" state="visible" r:id="rId16"/>
    <sheet name="Scenario_Analysis" sheetId="15" state="visible" r:id="rId17"/>
    <sheet name="Sensitivity_Analysis" sheetId="16" state="visible" r:id="rId18"/>
    <sheet name="Three_Year_Summary" sheetId="17" state="visible" r:id="rId19"/>
    <sheet name="Model_Comparison" sheetId="18" state="visible" r:id="rId20"/>
    <sheet name="Checks" sheetId="19" state="visible" r:id="rId21"/>
    <sheet name="Sources_and_Assumptions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<sst xmlns="http://schemas.openxmlformats.org/spreadsheetml/2006/main" count="1009" uniqueCount="380">
  <si>
    <t xml:space="preserve">Custom packaging startup, Kathmandu Valley - financial model (NPR). Research cut-off: 2026-10-23.</t>
  </si>
  <si>
    <t xml:space="preserve">Colour code: BLUE font = input/assumption; black = formula. Every input is an ASSUMPTION unless the Source column says otherwise.</t>
  </si>
  <si>
    <t xml:space="preserve">IMPORTANT: no supplier quotation was obtained in this research. Supplier costs, selling prices, AOV, conversion and reorder rates are budgetary assumptions (confidence LOW) to be replaced with RFQ results (see 06_supplier_quotation_request.md).</t>
  </si>
  <si>
    <t xml:space="preserve">v2 (audit): VAT-input toggle, mix-weighted AOV/margin, founder design time no longer double-counted. See 13_audit_report.md.</t>
  </si>
  <si>
    <t xml:space="preserve">Engine sheet holds 12 monthly engines (3 scenarios + 9 stress tests). P&amp;L, Cash_Flow, Working_Capital show the Base engine.</t>
  </si>
  <si>
    <t xml:space="preserve">Checks sheet confirms the recommended budget reconciles to NPR 5,00,000.</t>
  </si>
  <si>
    <t xml:space="preserve">Parameter</t>
  </si>
  <si>
    <t xml:space="preserve">Value</t>
  </si>
  <si>
    <t xml:space="preserve">Unit</t>
  </si>
  <si>
    <t xml:space="preserve">Source / confidence</t>
  </si>
  <si>
    <t xml:space="preserve">Initial investment ceiling</t>
  </si>
  <si>
    <t xml:space="preserve">NPR</t>
  </si>
  <si>
    <t xml:space="preserve">Founder constraint (brief). High</t>
  </si>
  <si>
    <t xml:space="preserve">NPR per 100 INR (selling)</t>
  </si>
  <si>
    <t xml:space="preserve">NPR/100 INR</t>
  </si>
  <si>
    <t xml:space="preserve">NRB forex, 12 Oct 2026 via sharesansar.com. High (may have moved)</t>
  </si>
  <si>
    <t xml:space="preserve">NPR per 1 USD (selling)</t>
  </si>
  <si>
    <t xml:space="preserve">NPR/USD</t>
  </si>
  <si>
    <t xml:space="preserve">Average order value (blended, ex-VAT)</t>
  </si>
  <si>
    <t xml:space="preserve">FORMULA (v2): order-mix-weighted average order value at each product's minimum-viable (MOQ) tier (v1 used a simple average that over-weighted rigid boxes); underlying prices are assumptions. Low</t>
  </si>
  <si>
    <t xml:space="preserve">Gross margin used by engine (mix-weighted, MOQ tiers)</t>
  </si>
  <si>
    <t xml:space="preserve">ratio</t>
  </si>
  <si>
    <t xml:space="preserve">FORMULA (v2): revenue- and mix-weighted gross margin at MOQ tiers; excludes founder design time unless design_cash=1. Low</t>
  </si>
  <si>
    <t xml:space="preserve">Delivery, payment-fee &amp; selling variable cost</t>
  </si>
  <si>
    <t xml:space="preserve">% revenue</t>
  </si>
  <si>
    <t xml:space="preserve">ASSUMPTION. Low</t>
  </si>
  <si>
    <t xml:space="preserve">Rework / rejection allowance</t>
  </si>
  <si>
    <t xml:space="preserve">Customer deposit at order</t>
  </si>
  <si>
    <t xml:space="preserve">Policy recommended in this study. Medium</t>
  </si>
  <si>
    <t xml:space="preserve">Credit days on balance</t>
  </si>
  <si>
    <t xml:space="preserve">days</t>
  </si>
  <si>
    <t xml:space="preserve">ASSUMPTION; Kathmandu SME norm unverified. Low</t>
  </si>
  <si>
    <t xml:space="preserve">Monthly reorder probability per existing customer</t>
  </si>
  <si>
    <t xml:space="preserve">ratio/month</t>
  </si>
  <si>
    <t xml:space="preserve">ASSUMPTION - conservative (reorder every ~5-6 months). Low</t>
  </si>
  <si>
    <t xml:space="preserve">Founder compensation (once started)</t>
  </si>
  <si>
    <t xml:space="preserve">NPR/month</t>
  </si>
  <si>
    <t xml:space="preserve">ASSUMPTION - shown explicitly so profit is not overstated</t>
  </si>
  <si>
    <t xml:space="preserve">Founder pay starts in month</t>
  </si>
  <si>
    <t xml:space="preserve">month</t>
  </si>
  <si>
    <t xml:space="preserve">ASSUMPTION</t>
  </si>
  <si>
    <t xml:space="preserve">Rent (shared desk / small room)</t>
  </si>
  <si>
    <t xml:space="preserve">ASSUMPTION - verify listings. Low</t>
  </si>
  <si>
    <t xml:space="preserve">Electricity &amp; internet</t>
  </si>
  <si>
    <t xml:space="preserve">Software subscriptions</t>
  </si>
  <si>
    <t xml:space="preserve">Marketing (ads, samples, boosts)</t>
  </si>
  <si>
    <t xml:space="preserve">Transport &amp; local delivery</t>
  </si>
  <si>
    <t xml:space="preserve">Accounting &amp; compliance</t>
  </si>
  <si>
    <t xml:space="preserve">Admin, repairs, misc.</t>
  </si>
  <si>
    <t xml:space="preserve">VAT rate (shown separately, not in revenue)</t>
  </si>
  <si>
    <t xml:space="preserve">udhamsathi.com VAT guide (secondary, Ashwin 2083). Medium</t>
  </si>
  <si>
    <t xml:space="preserve">Year-2 growth on month-12 run-rate</t>
  </si>
  <si>
    <t xml:space="preserve">ASSUMPTION (illustrative)</t>
  </si>
  <si>
    <t xml:space="preserve">Year-3 growth</t>
  </si>
  <si>
    <t xml:space="preserve">Annual fixed-cost inflation</t>
  </si>
  <si>
    <t xml:space="preserve">Minimum contribution per order (policy)</t>
  </si>
  <si>
    <t xml:space="preserve">Policy recommended. Medium</t>
  </si>
  <si>
    <t xml:space="preserve">VAT registered? (1 = yes, input VAT on supplier bills recoverable)</t>
  </si>
  <si>
    <t xml:space="preserve">flag</t>
  </si>
  <si>
    <t xml:space="preserve">AUDIT FIX v2: unregistered firm cannot reclaim 13% VAT on supplier bills. Default 0 = conservative</t>
  </si>
  <si>
    <t xml:space="preserve">Share of supplier spend billed with 13% VAT</t>
  </si>
  <si>
    <t xml:space="preserve">AUDIT FIX v2: ASSUMPTION - many small Nepal suppliers are PAN-only. Low</t>
  </si>
  <si>
    <t xml:space="preserve">Treat founder design time as a cash cost? (1 = yes)</t>
  </si>
  <si>
    <t xml:space="preserve">AUDIT FIX v2: v1 deducted design labour as cash AND later paid founder salary (double count). 0 = design time is covered by founder pay</t>
  </si>
  <si>
    <t xml:space="preserve">Total fixed opex (excl. founder)</t>
  </si>
  <si>
    <t xml:space="preserve">New customers per month - base (funnel: ~60 contacts/mo x ~10% qualify x ~30-40% order)</t>
  </si>
  <si>
    <t xml:space="preserve">Month</t>
  </si>
  <si>
    <t xml:space="preserve">New paying customers</t>
  </si>
  <si>
    <t xml:space="preserve">Source: ASSUMPTION; to be replaced by measured funnel from 90-day pilot. Low</t>
  </si>
  <si>
    <t xml:space="preserve">Scenario</t>
  </si>
  <si>
    <t xml:space="preserve">Price x</t>
  </si>
  <si>
    <t xml:space="preserve">Supplier cost x</t>
  </si>
  <si>
    <t xml:space="preserve">New-customer x</t>
  </si>
  <si>
    <t xml:space="preserve">Repeat x</t>
  </si>
  <si>
    <t xml:space="preserve">Extra collection days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</si>
  <si>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</si>
  <si>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</si>
  <si>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</si>
  <si>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</si>
  <si>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</si>
  <si>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</si>
  <si>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</si>
  <si>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</si>
  <si>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</si>
  <si>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</si>
  <si>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</si>
  <si>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</si>
  <si>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(Row 1 of each scenario: multipliers. Row 2: monthly revenue multiplier. Row 3: monthly one-off cost NPR)</t>
  </si>
  <si>
    <t xml:space="preserve">Downside</t>
  </si>
  <si>
    <t xml:space="preserve">  revenue multiplier by month</t>
  </si>
  <si>
    <t xml:space="preserve">  one-off cost by month (NPR)</t>
  </si>
  <si>
    <t xml:space="preserve">Base</t>
  </si>
  <si>
    <t xml:space="preserve">Upside</t>
  </si>
  <si>
    <t xml:space="preserve">S1 Selling prices -10%</t>
  </si>
  <si>
    <t xml:space="preserve">S2 Outsourcing cost +10%</t>
  </si>
  <si>
    <t xml:space="preserve">S3 Customer acquisition 50% slower</t>
  </si>
  <si>
    <t xml:space="preserve">S4 Material cost +15%</t>
  </si>
  <si>
    <t xml:space="preserve">S5 Customers pay 30 days later</t>
  </si>
  <si>
    <t xml:space="preserve">S6 Key supplier fails (months 5-6 sales at 40%, 15k rework)</t>
  </si>
  <si>
    <t xml:space="preserve">S7 Repeat purchases 50% lower</t>
  </si>
  <si>
    <t xml:space="preserve">S8 Seasonal concentration (M1-6 at 60%, M7-12 at 140%)</t>
  </si>
  <si>
    <t xml:space="preserve">S9 Unusable output write-off 25k in M4 + tool repair 20k in M8</t>
  </si>
  <si>
    <t xml:space="preserve">Item (NPR)</t>
  </si>
  <si>
    <t xml:space="preserve">Config A: validation</t>
  </si>
  <si>
    <t xml:space="preserve">Config B: RECOMMENDED</t>
  </si>
  <si>
    <t xml:space="preserve">Config B-own: founder owns laptop/space</t>
  </si>
  <si>
    <t xml:space="preserve">Config C: higher capability (needs more capital)</t>
  </si>
  <si>
    <t xml:space="preserve">Basis (all budgetary assumptions unless stated; low confidence)</t>
  </si>
  <si>
    <t xml:space="preserve">Refurbished design laptop</t>
  </si>
  <si>
    <t xml:space="preserve">Used/refurb laptop; Config A assumes founder's own</t>
  </si>
  <si>
    <t xml:space="preserve">Design software (12 months)</t>
  </si>
  <si>
    <t xml:space="preserve">Subscription estimate</t>
  </si>
  <si>
    <t xml:space="preserve">Hand tools &amp; finishing kit (A3 guillotine, creasing, steel rule, mats)</t>
  </si>
  <si>
    <t xml:space="preserve">No powered conversion machinery in B</t>
  </si>
  <si>
    <t xml:space="preserve">Furniture &amp; storage</t>
  </si>
  <si>
    <t xml:space="preserve">Table, racks</t>
  </si>
  <si>
    <t xml:space="preserve">Premises deposit &amp; basic fit-out</t>
  </si>
  <si>
    <t xml:space="preserve">~2 months rent + fit-out</t>
  </si>
  <si>
    <t xml:space="preserve">Supplier samples &amp; prototypes</t>
  </si>
  <si>
    <t xml:space="preserve">Sample budget across 6 product types and 3+ suppliers</t>
  </si>
  <si>
    <t xml:space="preserve">Initial materials / sample-kit stock</t>
  </si>
  <si>
    <t xml:space="preserve">Sample kits for outreach</t>
  </si>
  <si>
    <t xml:space="preserve">Registration, CA &amp; professional support</t>
  </si>
  <si>
    <t xml:space="preserve">Verify actual fees with CA/OCR/IRD</t>
  </si>
  <si>
    <t xml:space="preserve">Marketing &amp; sales materials (launch)</t>
  </si>
  <si>
    <t xml:space="preserve">Sample kits, catalogue, boosted posts</t>
  </si>
  <si>
    <t xml:space="preserve">Website &amp; communication tools</t>
  </si>
  <si>
    <t xml:space="preserve">Simple site, WhatsApp Business, domain</t>
  </si>
  <si>
    <t xml:space="preserve">Delivery setup</t>
  </si>
  <si>
    <t xml:space="preserve">Boxes, tape, courier account</t>
  </si>
  <si>
    <t xml:space="preserve">Equipment: label/sticker cutter, landed (ONLY after pilot gate)</t>
  </si>
  <si>
    <t xml:space="preserve">See Machinery sheet; landed estimate, low confidence</t>
  </si>
  <si>
    <t xml:space="preserve">Subtotal - set-up spend</t>
  </si>
  <si>
    <t xml:space="preserve">Working capital reserve</t>
  </si>
  <si>
    <t xml:space="preserve">Contingency</t>
  </si>
  <si>
    <t xml:space="preserve">TOTAL CASH REQUIRED</t>
  </si>
  <si>
    <t xml:space="preserve">Within NPR 5,00,000 ceiling?</t>
  </si>
  <si>
    <t xml:space="preserve">Opening operating cash (WC + contingency) - recommended config</t>
  </si>
  <si>
    <t xml:space="preserve">Config C is shown to demonstrate that powered equipment does not fit the ceiling with a safe reserve; it is NOT a recommendation.</t>
  </si>
  <si>
    <t xml:space="preserve">Config B-own is a reallocation scenario: laptop and premises deposit saved are moved to working capital.</t>
  </si>
  <si>
    <t xml:space="preserve">Category</t>
  </si>
  <si>
    <t xml:space="preserve">Item / listing (as advertised, NOT quoted)</t>
  </si>
  <si>
    <t xml:space="preserve">New/Used</t>
  </si>
  <si>
    <t xml:space="preserve">Advertised price (INR)</t>
  </si>
  <si>
    <t xml:space="preserve">Landed uplift % (assumed freight+duty+install)</t>
  </si>
  <si>
    <t xml:space="preserve">Advertised in NPR</t>
  </si>
  <si>
    <t xml:space="preserve">Est. landed NPR</t>
  </si>
  <si>
    <t xml:space="preserve">In recommended config?</t>
  </si>
  <si>
    <t xml:space="preserve">Status</t>
  </si>
  <si>
    <t xml:space="preserve">Confidence</t>
  </si>
  <si>
    <t xml:space="preserve">Source / note</t>
  </si>
  <si>
    <t xml:space="preserve">Cutting plotter</t>
  </si>
  <si>
    <t xml:space="preserve">Roland GS2-24 (listing)</t>
  </si>
  <si>
    <t xml:space="preserve">New</t>
  </si>
  <si>
    <t xml:space="preserve">No - post-pilot gate</t>
  </si>
  <si>
    <t xml:space="preserve">Advertised only</t>
  </si>
  <si>
    <t xml:space="preserve">Low</t>
  </si>
  <si>
    <t xml:space="preserve">IndiaMART listing surfaced in search 2026-10-23 (snippet only, not page-verified): https://m.indiamart.com/proddetail/digital-plotter-printer-15957722430.html</t>
  </si>
  <si>
    <t xml:space="preserve">Radium cutting plotter (Om Trading, New Delhi)</t>
  </si>
  <si>
    <t xml:space="preserve">https://m.indiamart.com/proddetail/plotter-printer-20127469462.html (price from search snippet)</t>
  </si>
  <si>
    <t xml:space="preserve">Label cutter</t>
  </si>
  <si>
    <t xml:space="preserve">Sticker half-cutter (Delhi-NCR seller)</t>
  </si>
  <si>
    <t xml:space="preserve">Search snippet via https://m.indiamart.com/digitalprint-solutions/label-cutters.html; per-listing attribution unverified</t>
  </si>
  <si>
    <t xml:space="preserve">Servo-motor label cutter</t>
  </si>
  <si>
    <t xml:space="preserve">No</t>
  </si>
  <si>
    <t xml:space="preserve">Same source as above; attribution unverified</t>
  </si>
  <si>
    <t xml:space="preserve">Die cutter</t>
  </si>
  <si>
    <t xml:space="preserve">Sticker cutting machine (C Press, Chennai)</t>
  </si>
  <si>
    <t xml:space="preserve">https://m.indiamart.com/cpress-chennai/die-cutting-machine.html (snippet)</t>
  </si>
  <si>
    <t xml:space="preserve">Digital half-cutter</t>
  </si>
  <si>
    <t xml:space="preserve">Digital sticker half-cutting machine (C Press)</t>
  </si>
  <si>
    <t xml:space="preserve">No - exceeds sensible share of budget</t>
  </si>
  <si>
    <t xml:space="preserve">Wide-format printer</t>
  </si>
  <si>
    <t xml:space="preserve">Epson T3130n 24in (Bengaluru, used)</t>
  </si>
  <si>
    <t xml:space="preserve">Used</t>
  </si>
  <si>
    <t xml:space="preserve">No - not suited to packaging substrates</t>
  </si>
  <si>
    <t xml:space="preserve">Search snippet, IndiaMART; used equipment, condition unverified</t>
  </si>
  <si>
    <t xml:space="preserve">HP DesignJet Z6dr 44in</t>
  </si>
  <si>
    <t xml:space="preserve">New/Used?</t>
  </si>
  <si>
    <t xml:space="preserve">Search snippet, IndiaMART; condition not stated</t>
  </si>
  <si>
    <t xml:space="preserve">Not found / not verified: Nepal customs duty and VAT on printing/cutting machinery (HS 8443 / 8441 / 8479); local Nepal dealer prices; warranty and service terms; power specifications.</t>
  </si>
  <si>
    <t xml:space="preserve">Landed uplift of 25% is a placeholder assumption, NOT a researched rate. Get a customs-agent quote before any purchase.</t>
  </si>
  <si>
    <t xml:space="preserve">Recommendation: buy NO powered machine until the 90-day pilot gate is passed (see 12_final_investment_recommendation.md).</t>
  </si>
  <si>
    <t xml:space="preserve">Product</t>
  </si>
  <si>
    <t xml:space="preserve">Qty</t>
  </si>
  <si>
    <t xml:space="preserve">Supplier unit cost</t>
  </si>
  <si>
    <t xml:space="preserve">Supplier setup/die/plate (one-off)</t>
  </si>
  <si>
    <t xml:space="preserve">Internal design &amp; sample labour (NPR)</t>
  </si>
  <si>
    <t xml:space="preserve">Delivery per order</t>
  </si>
  <si>
    <t xml:space="preserve">Wastage % of supplier cost</t>
  </si>
  <si>
    <t xml:space="preserve">Unit selling price</t>
  </si>
  <si>
    <t xml:space="preserve">Design fee charged</t>
  </si>
  <si>
    <t xml:space="preserve">Setup fee charged to customer (=1.15 x supplier setup)</t>
  </si>
  <si>
    <t xml:space="preserve">Revenue (ex-VAT)</t>
  </si>
  <si>
    <t xml:space="preserve">Supplier cost incl. wastage + setup</t>
  </si>
  <si>
    <t xml:space="preserve">Gross profit (after design labour)</t>
  </si>
  <si>
    <t xml:space="preserve">Gross margin</t>
  </si>
  <si>
    <t xml:space="preserve">Financing/payment cost (1.5% rev)</t>
  </si>
  <si>
    <t xml:space="preserve">Contribution</t>
  </si>
  <si>
    <t xml:space="preserve">Contribution margin</t>
  </si>
  <si>
    <t xml:space="preserve">Meets min contribution?</t>
  </si>
  <si>
    <t xml:space="preserve">MOQ tier flag</t>
  </si>
  <si>
    <t xml:space="preserve">Mix weight (share of orders)</t>
  </si>
  <si>
    <t xml:space="preserve">Cash gross margin (excl. founder design time)</t>
  </si>
  <si>
    <t xml:space="preserve">1 Kraft paper bag, 1-colour logo</t>
  </si>
  <si>
    <t xml:space="preserve">2 Folding carton, 4-colour</t>
  </si>
  <si>
    <t xml:space="preserve">3 Printed corrugated mailer box</t>
  </si>
  <si>
    <t xml:space="preserve">4 Sticker/label 50mm kiss-cut</t>
  </si>
  <si>
    <t xml:space="preserve">5 Rigid gift box</t>
  </si>
  <si>
    <t xml:space="preserve">6 Bakery/takeaway box, printed</t>
  </si>
  <si>
    <t xml:space="preserve">ALL supplier costs, setup charges and selling prices are ASSUMPTIONS (confidence LOW). Only verified local price points: The Box House Nepal retail - pastry box NPR 10, 2lb cake box NPR 35, 12in pizza box NPR 20 (unprinted stock; boxhousenepal.com.np, 2026-10-23).</t>
  </si>
  <si>
    <t xml:space="preserve">VAT (13%) is excluded from revenue. Customer-facing quotes add VAT only if the business is VAT-registered.</t>
  </si>
  <si>
    <t xml:space="preserve">Pricing policy modelled: setup/die/plate charged to customer at 1.15x supplier charge; design fee on custom structures; orders below minimum contribution are refused or re-quoted at the next tier.</t>
  </si>
  <si>
    <t xml:space="preserve">ENGINE: Downside</t>
  </si>
  <si>
    <t xml:space="preserve">Collection lag (months)</t>
  </si>
  <si>
    <t xml:space="preserve">12-mo total</t>
  </si>
  <si>
    <t xml:space="preserve">New customers</t>
  </si>
  <si>
    <t xml:space="preserve">Customers at start of month</t>
  </si>
  <si>
    <t xml:space="preserve">Repeat orders</t>
  </si>
  <si>
    <t xml:space="preserve">Total orders</t>
  </si>
  <si>
    <t xml:space="preserve">Base revenue (pre price shock)</t>
  </si>
  <si>
    <t xml:space="preserve">Revenue</t>
  </si>
  <si>
    <t xml:space="preserve">Supplier cost</t>
  </si>
  <si>
    <t xml:space="preserve">Other variable (delivery/fees/rework)</t>
  </si>
  <si>
    <t xml:space="preserve">Fixed opex</t>
  </si>
  <si>
    <t xml:space="preserve">One-off costs</t>
  </si>
  <si>
    <t xml:space="preserve">Operating profit BEFORE founder pay</t>
  </si>
  <si>
    <t xml:space="preserve">Founder compensation</t>
  </si>
  <si>
    <t xml:space="preserve">Operating profit AFTER founder pay</t>
  </si>
  <si>
    <t xml:space="preserve">Cash receipts</t>
  </si>
  <si>
    <t xml:space="preserve">Cash payments</t>
  </si>
  <si>
    <t xml:space="preserve">Net cash flow</t>
  </si>
  <si>
    <t xml:space="preserve">Closing cash</t>
  </si>
  <si>
    <t xml:space="preserve">Receivables balance</t>
  </si>
  <si>
    <t xml:space="preserve">Cumulative profit after founder</t>
  </si>
  <si>
    <t xml:space="preserve">Break-even flag (profit after founder &gt;=0 -&gt; month, else 99)</t>
  </si>
  <si>
    <t xml:space="preserve">Break-even flag BEFORE founder (profit &gt;=0 -&gt; month, else 99)</t>
  </si>
  <si>
    <t xml:space="preserve">Total revenue</t>
  </si>
  <si>
    <t xml:space="preserve">Total contribution</t>
  </si>
  <si>
    <t xml:space="preserve">Total operating profit after founder</t>
  </si>
  <si>
    <t xml:space="preserve">Minimum closing cash</t>
  </si>
  <si>
    <t xml:space="preserve">Ending cash (month 12)</t>
  </si>
  <si>
    <t xml:space="preserve">Solvent within ceiling (cash never &lt; 0)?</t>
  </si>
  <si>
    <t xml:space="preserve">Solvent WITHOUT using contingency?</t>
  </si>
  <si>
    <t xml:space="preserve">First month op. profit &gt;= 0 BEFORE founder pay</t>
  </si>
  <si>
    <t xml:space="preserve">Month-12 operating profit AFTER founder pay</t>
  </si>
  <si>
    <t xml:space="preserve">Month-12 receivables</t>
  </si>
  <si>
    <t xml:space="preserve">First month op. profit &gt;= 0 AFTER founder pay</t>
  </si>
  <si>
    <t xml:space="preserve">ENGINE: Base</t>
  </si>
  <si>
    <t xml:space="preserve">ENGINE: Upside</t>
  </si>
  <si>
    <t xml:space="preserve">ENGINE: S1 Selling prices -10%</t>
  </si>
  <si>
    <t xml:space="preserve">ENGINE: S2 Outsourcing cost +10%</t>
  </si>
  <si>
    <t xml:space="preserve">ENGINE: S3 Customer acquisition 50% slower</t>
  </si>
  <si>
    <t xml:space="preserve">ENGINE: S4 Material cost +15%</t>
  </si>
  <si>
    <t xml:space="preserve">ENGINE: S5 Customers pay 30 days later</t>
  </si>
  <si>
    <t xml:space="preserve">ENGINE: S6 Key supplier fails (months 5-6 sales at 40%, 15k rework)</t>
  </si>
  <si>
    <t xml:space="preserve">ENGINE: S7 Repeat purchases 50% lower</t>
  </si>
  <si>
    <t xml:space="preserve">ENGINE: S8 Seasonal concentration (M1-6 at 60%, M7-12 at 140%)</t>
  </si>
  <si>
    <t xml:space="preserve">ENGINE: S9 Unusable output write-off 25k in M4 + tool repair 20k in M8</t>
  </si>
  <si>
    <t xml:space="preserve">NPR (Base case)</t>
  </si>
  <si>
    <t xml:space="preserve">12-mo</t>
  </si>
  <si>
    <t xml:space="preserve">New customers (Assumptions x acquisition multiplier)</t>
  </si>
  <si>
    <t xml:space="preserve">Reorder probability applied -&gt; repeat orders</t>
  </si>
  <si>
    <t xml:space="preserve">Supplier cost (outsourced production, incl. unrecoverable VAT if unregistered)</t>
  </si>
  <si>
    <t xml:space="preserve">Other variable (delivery, fees, rework)</t>
  </si>
  <si>
    <t xml:space="preserve">Operating profit before founder pay</t>
  </si>
  <si>
    <t xml:space="preserve">Operating profit after founder pay (net profit proxy, pre-tax)</t>
  </si>
  <si>
    <t xml:space="preserve">Cash receipts (deposit + collections)</t>
  </si>
  <si>
    <t xml:space="preserve">Closing cash (opening = WC + contingency)</t>
  </si>
  <si>
    <t xml:space="preserve">Revenue billed</t>
  </si>
  <si>
    <t xml:space="preserve">Profit is not cash: receivables grow as customers pay balances 30+ days late; supplier cost is paid at order. Opening cash = working-capital reserve + contingency from Capital_Allocation.</t>
  </si>
  <si>
    <t xml:space="preserve">Metric</t>
  </si>
  <si>
    <t xml:space="preserve">Formula / note</t>
  </si>
  <si>
    <t xml:space="preserve">Contribution margin ratio</t>
  </si>
  <si>
    <t xml:space="preserve">1 - supplier cost x VAT leakage - variable selling/delivery - rework (v2 audit fix)</t>
  </si>
  <si>
    <t xml:space="preserve">Fixed opex per month (excl. founder)</t>
  </si>
  <si>
    <t xml:space="preserve">Break-even monthly sales (excl. founder pay)</t>
  </si>
  <si>
    <t xml:space="preserve">fixed / CM ratio</t>
  </si>
  <si>
    <t xml:space="preserve">Break-even monthly sales (incl. founder pay)</t>
  </si>
  <si>
    <t xml:space="preserve">covers founder compensation</t>
  </si>
  <si>
    <t xml:space="preserve">Orders per month to break even (excl. founder)</t>
  </si>
  <si>
    <t xml:space="preserve">Orders per month to break even (incl. founder)</t>
  </si>
  <si>
    <t xml:space="preserve">Contribution per average order</t>
  </si>
  <si>
    <t xml:space="preserve">Active customers needed if only reorders (no new)</t>
  </si>
  <si>
    <t xml:space="preserve">orders needed / monthly reorder probability</t>
  </si>
  <si>
    <t xml:space="preserve">Average monthly revenue per active customer</t>
  </si>
  <si>
    <t xml:space="preserve">AOV x reorder probability</t>
  </si>
  <si>
    <t xml:space="preserve">Set-up spend to recover (recommended config)</t>
  </si>
  <si>
    <t xml:space="preserve">non-cash-reserve spend</t>
  </si>
  <si>
    <t xml:space="preserve">Month-12 operating profit after founder (Base)</t>
  </si>
  <si>
    <t xml:space="preserve">Months to recover set-up spend at M12 run-rate</t>
  </si>
  <si>
    <t xml:space="preserve">simple payback on run-rate; Base case</t>
  </si>
  <si>
    <t xml:space="preserve">Operating break-even month BEFORE founder (Base)</t>
  </si>
  <si>
    <t xml:space="preserve">Operating break-even month AFTER founder (Base)</t>
  </si>
  <si>
    <t xml:space="preserve">Orders per month in Base month 12</t>
  </si>
  <si>
    <t xml:space="preserve">12-mo revenue</t>
  </si>
  <si>
    <t xml:space="preserve">12-mo contribution</t>
  </si>
  <si>
    <t xml:space="preserve">12-mo op. profit after founder</t>
  </si>
  <si>
    <t xml:space="preserve">Minimum cash</t>
  </si>
  <si>
    <t xml:space="preserve">Ending cash</t>
  </si>
  <si>
    <t xml:space="preserve">Solvent within NPR 5L?</t>
  </si>
  <si>
    <t xml:space="preserve">Solvent without contingency?</t>
  </si>
  <si>
    <t xml:space="preserve">First profit month (before founder)</t>
  </si>
  <si>
    <t xml:space="preserve">Downside = 50% fewer new customers, 40% lower repeat, +10% supplier cost, +30 collection days. Upside = +40% customers, +30% repeat, -3% supplier cost.</t>
  </si>
  <si>
    <t xml:space="preserve">Stress test</t>
  </si>
  <si>
    <t xml:space="preserve">Delta vs Base profit</t>
  </si>
  <si>
    <t xml:space="preserve">NPR (illustrative, Base)</t>
  </si>
  <si>
    <t xml:space="preserve">Year 1</t>
  </si>
  <si>
    <t xml:space="preserve">Year 2</t>
  </si>
  <si>
    <t xml:space="preserve">Year 3</t>
  </si>
  <si>
    <t xml:space="preserve">Operating profit after founder (pre-tax, excl. one-offs)</t>
  </si>
  <si>
    <t xml:space="preserve">Years 2-3 are extrapolations from LOW-confidence assumptions; treat as illustrative only. Year-1 contribution excludes one-off costs.</t>
  </si>
  <si>
    <t xml:space="preserve">Criterion (5 = best/lowest risk)</t>
  </si>
  <si>
    <t xml:space="preserve">Weight</t>
  </si>
  <si>
    <t xml:space="preserve">A: Design &amp; sourcing agency</t>
  </si>
  <si>
    <t xml:space="preserve">B: Hybrid studio</t>
  </si>
  <si>
    <t xml:space="preserve">C: In-house workshop</t>
  </si>
  <si>
    <t xml:space="preserve">Scoring rationale</t>
  </si>
  <si>
    <t xml:space="preserve">Total capital required</t>
  </si>
  <si>
    <t xml:space="preserve">A ~NPR 2.65L set-up; C needs powered machines + stock</t>
  </si>
  <si>
    <t xml:space="preserve">Machinery investment</t>
  </si>
  <si>
    <t xml:space="preserve">A none; B one cutter; C several</t>
  </si>
  <si>
    <t xml:space="preserve">Available product range</t>
  </si>
  <si>
    <t xml:space="preserve">A can broker any format; C limited to 1-2 formats</t>
  </si>
  <si>
    <t xml:space="preserve">Ability to customise</t>
  </si>
  <si>
    <t xml:space="preserve">B controls prototyping/short runs; A depends on suppliers' MOQ</t>
  </si>
  <si>
    <t xml:space="preserve">Gross &amp; contribution margin</t>
  </si>
  <si>
    <t xml:space="preserve">A pays supplier margin; C bears wastage/under-utilisation</t>
  </si>
  <si>
    <t xml:space="preserve">Minimum viable order volume</t>
  </si>
  <si>
    <t xml:space="preserve">C needs volume to cover fixed cost</t>
  </si>
  <si>
    <t xml:space="preserve">Break-even sales</t>
  </si>
  <si>
    <t xml:space="preserve">Lowest fixed cost in A</t>
  </si>
  <si>
    <t xml:space="preserve">Working-capital intensity</t>
  </si>
  <si>
    <t xml:space="preserve">Supplier prepayment vs raw-material stock</t>
  </si>
  <si>
    <t xml:space="preserve">Production control</t>
  </si>
  <si>
    <t xml:space="preserve">A depends on third parties</t>
  </si>
  <si>
    <t xml:space="preserve">Delivery reliability</t>
  </si>
  <si>
    <t xml:space="preserve">Supplier delays hurt A; C lacks capacity/skills</t>
  </si>
  <si>
    <t xml:space="preserve">Competition</t>
  </si>
  <si>
    <t xml:space="preserve">C competes head-on with established printers</t>
  </si>
  <si>
    <t xml:space="preserve">Customer acquisition difficulty</t>
  </si>
  <si>
    <t xml:space="preserve">Equal; selling is the bottleneck</t>
  </si>
  <si>
    <t xml:space="preserve">Scalability</t>
  </si>
  <si>
    <t xml:space="preserve">A scales with supplier network</t>
  </si>
  <si>
    <t xml:space="preserve">Operational complexity</t>
  </si>
  <si>
    <t xml:space="preserve">C needs operators, maintenance, QC</t>
  </si>
  <si>
    <t xml:space="preserve">Downside risk</t>
  </si>
  <si>
    <t xml:space="preserve">A can stop with little sunk cost</t>
  </si>
  <si>
    <t xml:space="preserve">WEIGHTED SCORE (max 5.00)</t>
  </si>
  <si>
    <t xml:space="preserve">Weights sum</t>
  </si>
  <si>
    <t xml:space="preserve">Scores are analyst judgements informed by the research, not measured data.</t>
  </si>
  <si>
    <t xml:space="preserve">Check</t>
  </si>
  <si>
    <t xml:space="preserve">Result</t>
  </si>
  <si>
    <t xml:space="preserve">Recommended budget total equals ceiling (NPR 5,00,000)</t>
  </si>
  <si>
    <t xml:space="preserve">Recommended budget does not exceed ceiling</t>
  </si>
  <si>
    <t xml:space="preserve">Config A within ceiling</t>
  </si>
  <si>
    <t xml:space="preserve">Machinery share of recommended budget (must be &lt; 50%)</t>
  </si>
  <si>
    <t xml:space="preserve">Working capital + contingency share of recommended budget</t>
  </si>
  <si>
    <t xml:space="preserve">Model-comparison weights sum to 100</t>
  </si>
  <si>
    <t xml:space="preserve">Base engine: closing cash M12 = opening + cumulative net cash flow</t>
  </si>
  <si>
    <t xml:space="preserve">ID</t>
  </si>
  <si>
    <t xml:space="preserve">Claim</t>
  </si>
  <si>
    <t xml:space="preserve">Source</t>
  </si>
  <si>
    <t xml:space="preserve">E01</t>
  </si>
  <si>
    <t xml:space="preserve">NRB USD selling NPR 155.08; INR (per 100) selling NPR 160.15 on 12 Oct 2026</t>
  </si>
  <si>
    <t xml:space="preserve">https://www.sharesansar.com/newsdetail/nrb-publishes-mondays-forex-rates-us-dollar-fixed-at-rs-15508-2026-10-12</t>
  </si>
  <si>
    <t xml:space="preserve">High</t>
  </si>
  <si>
    <t xml:space="preserve">E02</t>
  </si>
  <si>
    <t xml:space="preserve">VAT registration: goods NPR 50 lakh, services/mixed NPR 30 lakh, rate 13%, PAN prerequisite</t>
  </si>
  <si>
    <t xml:space="preserve">https://udhamsathi.com/blog/vat-registration-nepal (secondary; cites VAT Act 2052, Finance Act 2081)</t>
  </si>
  <si>
    <t xml:space="preserve">Medium</t>
  </si>
  <si>
    <t xml:space="preserve">E03</t>
  </si>
  <si>
    <t xml:space="preserve">Box House Nepal retail prices (pastry box 10, 2lb cake box 35, 12in pizza box 20)</t>
  </si>
  <si>
    <t xml:space="preserve">https://boxhousenepal.com.np/</t>
  </si>
  <si>
    <t xml:space="preserve">E04</t>
  </si>
  <si>
    <t xml:space="preserve">Indian cutting plotter / label cutter asking prices</t>
  </si>
  <si>
    <t xml:space="preserve">IndiaMART listings via search (see Machinery sheet)</t>
  </si>
  <si>
    <t xml:space="preserve">E05</t>
  </si>
  <si>
    <t xml:space="preserve">All supplier costs, selling prices, AOV, funnel, reorder rate, opex</t>
  </si>
  <si>
    <t xml:space="preserve">Analyst assumptions - NOT sourced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</si>
</sst>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80"/>
    <col collapsed="false" customWidth="true" hidden="false" outlineLevel="0" max="13" min="5" style="0" width="8"/>
  </cols>
  <sheetData>
    <row r="1" customFormat="false" ht="15" hidden="false" customHeight="false" outlineLevel="0" collapsed="false">
      <c r="A1" s="1" t="s">
        <v>6</v>
      </c>
      <c r="B1" s="1" t="s">
        <v>7</v>
      </c>
      <c r="C1" s="1" t="s">
        <v>8</v>
      </c>
      <c r="D1" s="1" t="s">
        <v>9</v>
      </c>
    </row>
    <row r="2" customFormat="false" ht="15" hidden="false" customHeight="false" outlineLevel="0" collapsed="false">
      <c r="A2" s="0" t="s">
        <v>10</v>
      </c>
      <c r="B2" s="2" t="n">
        <v>500000</v>
      </c>
      <c r="C2" s="3" t="s">
        <v>11</v>
      </c>
      <c r="D2" s="3" t="s">
        <v>12</v>
      </c>
    </row>
    <row r="3" customFormat="false" ht="15" hidden="false" customHeight="false" outlineLevel="0" collapsed="false">
      <c r="A3" s="0" t="s">
        <v>13</v>
      </c>
      <c r="B3" s="2" t="n">
        <v>160.15</v>
      </c>
      <c r="C3" s="3" t="s">
        <v>14</v>
      </c>
      <c r="D3" s="3" t="s">
        <v>15</v>
      </c>
    </row>
    <row r="4" customFormat="false" ht="15" hidden="false" customHeight="false" outlineLevel="0" collapsed="false">
      <c r="A4" s="0" t="s">
        <v>16</v>
      </c>
      <c r="B4" s="2" t="n">
        <v>155.08</v>
      </c>
      <c r="C4" s="3" t="s">
        <v>17</v>
      </c>
      <c r="D4" s="3" t="s">
        <v>15</v>
      </c>
    </row>
    <row r="5" customFormat="false" ht="15" hidden="false" customHeight="false" outlineLevel="0" collapsed="false">
      <c r="A5" s="0" t="s">
        <v>18</v>
      </c>
      <c r="B5" s="4" t="n">
        <f aca="false">SUMPRODUCT(Product_Pricing!$S$2:$S$31,Product_Pricing!$T$2:$T$31,Product_Pricing!$K$2:$K$31)/SUMPRODUCT(Product_Pricing!$S$2:$S$31,Product_Pricing!$T$2:$T$31)</f>
        <v>26718.75</v>
      </c>
      <c r="C5" s="3" t="s">
        <v>11</v>
      </c>
      <c r="D5" s="3" t="s">
        <v>19</v>
      </c>
    </row>
    <row r="6" customFormat="false" ht="15" hidden="false" customHeight="false" outlineLevel="0" collapsed="false">
      <c r="A6" s="0" t="s">
        <v>20</v>
      </c>
      <c r="B6" s="4" t="n">
        <f aca="false">IF(Assumptions!$B$28=1,SUMPRODUCT(Product_Pricing!$S$2:$S$31,Product_Pricing!$T$2:$T$31,Product_Pricing!$M$2:$M$31),SUMPRODUCT(Product_Pricing!$S$2:$S$31,Product_Pricing!$T$2:$T$31,Product_Pricing!$M$2:$M$31)+SUMPRODUCT(Product_Pricing!$S$2:$S$31,Product_Pricing!$T$2:$T$31,Product_Pricing!$E$2:$E$31))/SUMPRODUCT(Product_Pricing!$S$2:$S$31,Product_Pricing!$T$2:$T$31,Product_Pricing!$K$2:$K$31)</f>
        <v>0.316116959064327</v>
      </c>
      <c r="C6" s="3" t="s">
        <v>21</v>
      </c>
      <c r="D6" s="3" t="s">
        <v>22</v>
      </c>
    </row>
    <row r="7" customFormat="false" ht="15" hidden="false" customHeight="false" outlineLevel="0" collapsed="false">
      <c r="A7" s="0" t="s">
        <v>23</v>
      </c>
      <c r="B7" s="2" t="n">
        <v>0.04</v>
      </c>
      <c r="C7" s="3" t="s">
        <v>24</v>
      </c>
      <c r="D7" s="3" t="s">
        <v>25</v>
      </c>
    </row>
    <row r="8" customFormat="false" ht="15" hidden="false" customHeight="false" outlineLevel="0" collapsed="false">
      <c r="A8" s="0" t="s">
        <v>26</v>
      </c>
      <c r="B8" s="2" t="n">
        <v>0.02</v>
      </c>
      <c r="C8" s="3" t="s">
        <v>24</v>
      </c>
      <c r="D8" s="3" t="s">
        <v>25</v>
      </c>
    </row>
    <row r="9" customFormat="false" ht="15" hidden="false" customHeight="false" outlineLevel="0" collapsed="false">
      <c r="A9" s="0" t="s">
        <v>27</v>
      </c>
      <c r="B9" s="2" t="n">
        <v>0.5</v>
      </c>
      <c r="C9" s="3" t="s">
        <v>21</v>
      </c>
      <c r="D9" s="3" t="s">
        <v>28</v>
      </c>
    </row>
    <row r="10" customFormat="false" ht="15" hidden="false" customHeight="false" outlineLevel="0" collapsed="false">
      <c r="A10" s="0" t="s">
        <v>29</v>
      </c>
      <c r="B10" s="2" t="n">
        <v>30</v>
      </c>
      <c r="C10" s="3" t="s">
        <v>30</v>
      </c>
      <c r="D10" s="3" t="s">
        <v>31</v>
      </c>
    </row>
    <row r="11" customFormat="false" ht="15" hidden="false" customHeight="false" outlineLevel="0" collapsed="false">
      <c r="A11" s="0" t="s">
        <v>32</v>
      </c>
      <c r="B11" s="2" t="n">
        <v>0.18</v>
      </c>
      <c r="C11" s="3" t="s">
        <v>33</v>
      </c>
      <c r="D11" s="3" t="s">
        <v>34</v>
      </c>
    </row>
    <row r="12" customFormat="false" ht="15" hidden="false" customHeight="false" outlineLevel="0" collapsed="false">
      <c r="A12" s="0" t="s">
        <v>35</v>
      </c>
      <c r="B12" s="2" t="n">
        <v>15000</v>
      </c>
      <c r="C12" s="3" t="s">
        <v>36</v>
      </c>
      <c r="D12" s="3" t="s">
        <v>37</v>
      </c>
    </row>
    <row r="13" customFormat="false" ht="15" hidden="false" customHeight="false" outlineLevel="0" collapsed="false">
      <c r="A13" s="0" t="s">
        <v>38</v>
      </c>
      <c r="B13" s="2" t="n">
        <v>7</v>
      </c>
      <c r="C13" s="3" t="s">
        <v>39</v>
      </c>
      <c r="D13" s="3" t="s">
        <v>40</v>
      </c>
    </row>
    <row r="14" customFormat="false" ht="15" hidden="false" customHeight="false" outlineLevel="0" collapsed="false">
      <c r="A14" s="0" t="s">
        <v>41</v>
      </c>
      <c r="B14" s="2" t="n">
        <v>8000</v>
      </c>
      <c r="C14" s="3" t="s">
        <v>36</v>
      </c>
      <c r="D14" s="3" t="s">
        <v>42</v>
      </c>
    </row>
    <row r="15" customFormat="false" ht="15" hidden="false" customHeight="false" outlineLevel="0" collapsed="false">
      <c r="A15" s="0" t="s">
        <v>43</v>
      </c>
      <c r="B15" s="2" t="n">
        <v>3000</v>
      </c>
      <c r="C15" s="3" t="s">
        <v>36</v>
      </c>
      <c r="D15" s="3" t="s">
        <v>25</v>
      </c>
    </row>
    <row r="16" customFormat="false" ht="15" hidden="false" customHeight="false" outlineLevel="0" collapsed="false">
      <c r="A16" s="0" t="s">
        <v>44</v>
      </c>
      <c r="B16" s="2" t="n">
        <v>2000</v>
      </c>
      <c r="C16" s="3" t="s">
        <v>36</v>
      </c>
      <c r="D16" s="3" t="s">
        <v>25</v>
      </c>
    </row>
    <row r="17" customFormat="false" ht="15" hidden="false" customHeight="false" outlineLevel="0" collapsed="false">
      <c r="A17" s="0" t="s">
        <v>45</v>
      </c>
      <c r="B17" s="2" t="n">
        <v>10000</v>
      </c>
      <c r="C17" s="3" t="s">
        <v>36</v>
      </c>
      <c r="D17" s="3" t="s">
        <v>25</v>
      </c>
    </row>
    <row r="18" customFormat="false" ht="15" hidden="false" customHeight="false" outlineLevel="0" collapsed="false">
      <c r="A18" s="0" t="s">
        <v>46</v>
      </c>
      <c r="B18" s="2" t="n">
        <v>3500</v>
      </c>
      <c r="C18" s="3" t="s">
        <v>36</v>
      </c>
      <c r="D18" s="3" t="s">
        <v>25</v>
      </c>
    </row>
    <row r="19" customFormat="false" ht="15" hidden="false" customHeight="false" outlineLevel="0" collapsed="false">
      <c r="A19" s="0" t="s">
        <v>47</v>
      </c>
      <c r="B19" s="2" t="n">
        <v>3000</v>
      </c>
      <c r="C19" s="3" t="s">
        <v>36</v>
      </c>
      <c r="D19" s="3" t="s">
        <v>25</v>
      </c>
    </row>
    <row r="20" customFormat="false" ht="15" hidden="false" customHeight="false" outlineLevel="0" collapsed="false">
      <c r="A20" s="0" t="s">
        <v>48</v>
      </c>
      <c r="B20" s="2" t="n">
        <v>3000</v>
      </c>
      <c r="C20" s="3" t="s">
        <v>36</v>
      </c>
      <c r="D20" s="3" t="s">
        <v>25</v>
      </c>
    </row>
    <row r="21" customFormat="false" ht="15" hidden="false" customHeight="false" outlineLevel="0" collapsed="false">
      <c r="A21" s="0" t="s">
        <v>49</v>
      </c>
      <c r="B21" s="2" t="n">
        <v>0.13</v>
      </c>
      <c r="C21" s="3" t="s">
        <v>21</v>
      </c>
      <c r="D21" s="3" t="s">
        <v>50</v>
      </c>
    </row>
    <row r="22" customFormat="false" ht="15" hidden="false" customHeight="false" outlineLevel="0" collapsed="false">
      <c r="A22" s="0" t="s">
        <v>51</v>
      </c>
      <c r="B22" s="2" t="n">
        <v>0.15</v>
      </c>
      <c r="C22" s="3" t="s">
        <v>21</v>
      </c>
      <c r="D22" s="3" t="s">
        <v>52</v>
      </c>
    </row>
    <row r="23" customFormat="false" ht="15" hidden="false" customHeight="false" outlineLevel="0" collapsed="false">
      <c r="A23" s="0" t="s">
        <v>53</v>
      </c>
      <c r="B23" s="2" t="n">
        <v>0.2</v>
      </c>
      <c r="C23" s="3" t="s">
        <v>21</v>
      </c>
      <c r="D23" s="3" t="s">
        <v>52</v>
      </c>
    </row>
    <row r="24" customFormat="false" ht="15" hidden="false" customHeight="false" outlineLevel="0" collapsed="false">
      <c r="A24" s="0" t="s">
        <v>54</v>
      </c>
      <c r="B24" s="2" t="n">
        <v>0.08</v>
      </c>
      <c r="C24" s="3" t="s">
        <v>21</v>
      </c>
      <c r="D24" s="3" t="s">
        <v>40</v>
      </c>
    </row>
    <row r="25" customFormat="false" ht="15" hidden="false" customHeight="false" outlineLevel="0" collapsed="false">
      <c r="A25" s="0" t="s">
        <v>55</v>
      </c>
      <c r="B25" s="2" t="n">
        <v>3000</v>
      </c>
      <c r="C25" s="3" t="s">
        <v>11</v>
      </c>
      <c r="D25" s="3" t="s">
        <v>56</v>
      </c>
    </row>
    <row r="26" customFormat="false" ht="15" hidden="false" customHeight="false" outlineLevel="0" collapsed="false">
      <c r="A26" s="0" t="s">
        <v>57</v>
      </c>
      <c r="B26" s="2" t="n">
        <v>0</v>
      </c>
      <c r="C26" s="3" t="s">
        <v>58</v>
      </c>
      <c r="D26" s="3" t="s">
        <v>59</v>
      </c>
    </row>
    <row r="27" customFormat="false" ht="15" hidden="false" customHeight="false" outlineLevel="0" collapsed="false">
      <c r="A27" s="0" t="s">
        <v>60</v>
      </c>
      <c r="B27" s="2" t="n">
        <v>0.6</v>
      </c>
      <c r="C27" s="3" t="s">
        <v>21</v>
      </c>
      <c r="D27" s="3" t="s">
        <v>61</v>
      </c>
    </row>
    <row r="28" customFormat="false" ht="15" hidden="false" customHeight="false" outlineLevel="0" collapsed="false">
      <c r="A28" s="0" t="s">
        <v>62</v>
      </c>
      <c r="B28" s="2" t="n">
        <v>0</v>
      </c>
      <c r="C28" s="3" t="s">
        <v>58</v>
      </c>
      <c r="D28" s="3" t="s">
        <v>63</v>
      </c>
    </row>
    <row r="29" customFormat="false" ht="15" hidden="false" customHeight="false" outlineLevel="0" collapsed="false">
      <c r="A29" s="5" t="s">
        <v>64</v>
      </c>
      <c r="B29" s="3" t="n">
        <f aca="false">SUM(B14:B20)</f>
        <v>32500</v>
      </c>
      <c r="C29" s="3" t="s">
        <v>36</v>
      </c>
    </row>
    <row r="31" customFormat="false" ht="15" hidden="false" customHeight="false" outlineLevel="0" collapsed="false">
      <c r="A31" s="5" t="s">
        <v>65</v>
      </c>
    </row>
    <row r="32" customFormat="false" ht="15" hidden="false" customHeight="false" outlineLevel="0" collapsed="false">
      <c r="A32" s="1" t="s">
        <v>66</v>
      </c>
      <c r="B32" s="1" t="n">
        <v>1</v>
      </c>
      <c r="C32" s="1" t="n">
        <v>2</v>
      </c>
      <c r="D32" s="1" t="n">
        <v>3</v>
      </c>
      <c r="E32" s="1" t="n">
        <v>4</v>
      </c>
      <c r="F32" s="1" t="n">
        <v>5</v>
      </c>
      <c r="G32" s="1" t="n">
        <v>6</v>
      </c>
      <c r="H32" s="1" t="n">
        <v>7</v>
      </c>
      <c r="I32" s="1" t="n">
        <v>8</v>
      </c>
      <c r="J32" s="1" t="n">
        <v>9</v>
      </c>
      <c r="K32" s="1" t="n">
        <v>10</v>
      </c>
      <c r="L32" s="1" t="n">
        <v>11</v>
      </c>
      <c r="M32" s="1" t="n">
        <v>12</v>
      </c>
    </row>
    <row r="33" customFormat="false" ht="15" hidden="false" customHeight="false" outlineLevel="0" collapsed="false">
      <c r="A33" s="0" t="s">
        <v>67</v>
      </c>
      <c r="B33" s="2" t="n">
        <v>0</v>
      </c>
      <c r="C33" s="2" t="n">
        <v>1</v>
      </c>
      <c r="D33" s="2" t="n">
        <v>2</v>
      </c>
      <c r="E33" s="2" t="n">
        <v>3</v>
      </c>
      <c r="F33" s="2" t="n">
        <v>3</v>
      </c>
      <c r="G33" s="2" t="n">
        <v>4</v>
      </c>
      <c r="H33" s="2" t="n">
        <v>4</v>
      </c>
      <c r="I33" s="2" t="n">
        <v>5</v>
      </c>
      <c r="J33" s="2" t="n">
        <v>5</v>
      </c>
      <c r="K33" s="2" t="n">
        <v>5</v>
      </c>
      <c r="L33" s="2" t="n">
        <v>6</v>
      </c>
      <c r="M33" s="2" t="n">
        <v>6</v>
      </c>
    </row>
    <row r="34" customFormat="false" ht="15" hidden="false" customHeight="false" outlineLevel="0" collapsed="false">
      <c r="A34" s="0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5" min="2" style="0" width="10"/>
  </cols>
  <sheetData>
    <row r="1" customFormat="false" ht="41.75" hidden="false" customHeight="false" outlineLevel="0" collapsed="false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</row>
    <row r="2" customFormat="false" ht="15" hidden="false" customHeight="false" outlineLevel="0" collapsed="false">
      <c r="A2" s="0" t="s">
        <v>87</v>
      </c>
    </row>
    <row r="3" customFormat="false" ht="15" hidden="false" customHeight="false" outlineLevel="0" collapsed="false">
      <c r="A3" s="5" t="s">
        <v>88</v>
      </c>
      <c r="B3" s="2" t="n">
        <v>1</v>
      </c>
      <c r="C3" s="2" t="n">
        <v>1.1</v>
      </c>
      <c r="D3" s="2" t="n">
        <v>0.5</v>
      </c>
      <c r="E3" s="2" t="n">
        <v>0.6</v>
      </c>
      <c r="F3" s="2" t="n">
        <v>30</v>
      </c>
    </row>
    <row r="4" customFormat="false" ht="15" hidden="false" customHeight="false" outlineLevel="0" collapsed="false">
      <c r="A4" s="0" t="s">
        <v>89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</row>
    <row r="5" customFormat="false" ht="15" hidden="false" customHeight="false" outlineLevel="0" collapsed="false">
      <c r="A5" s="0" t="s">
        <v>90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</row>
    <row r="7" customFormat="false" ht="15" hidden="false" customHeight="false" outlineLevel="0" collapsed="false">
      <c r="A7" s="5" t="s">
        <v>91</v>
      </c>
      <c r="B7" s="2" t="n">
        <v>1</v>
      </c>
      <c r="C7" s="2" t="n">
        <v>1</v>
      </c>
      <c r="D7" s="2" t="n">
        <v>1</v>
      </c>
      <c r="E7" s="2" t="n">
        <v>1</v>
      </c>
      <c r="F7" s="2" t="n">
        <v>0</v>
      </c>
    </row>
    <row r="8" customFormat="false" ht="15" hidden="false" customHeight="false" outlineLevel="0" collapsed="false">
      <c r="A8" s="0" t="s">
        <v>89</v>
      </c>
      <c r="G8" s="2" t="n">
        <v>1</v>
      </c>
      <c r="H8" s="2" t="n">
        <v>1</v>
      </c>
      <c r="I8" s="2" t="n">
        <v>1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1</v>
      </c>
    </row>
    <row r="9" customFormat="false" ht="15" hidden="false" customHeight="false" outlineLevel="0" collapsed="false">
      <c r="A9" s="0" t="s">
        <v>90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</row>
    <row r="11" customFormat="false" ht="15" hidden="false" customHeight="false" outlineLevel="0" collapsed="false">
      <c r="A11" s="5" t="s">
        <v>92</v>
      </c>
      <c r="B11" s="2" t="n">
        <v>1</v>
      </c>
      <c r="C11" s="2" t="n">
        <v>0.97</v>
      </c>
      <c r="D11" s="2" t="n">
        <v>1.4</v>
      </c>
      <c r="E11" s="2" t="n">
        <v>1.3</v>
      </c>
      <c r="F11" s="2" t="n">
        <v>0</v>
      </c>
    </row>
    <row r="12" customFormat="false" ht="15" hidden="false" customHeight="false" outlineLevel="0" collapsed="false">
      <c r="A12" s="0" t="s">
        <v>89</v>
      </c>
      <c r="G12" s="2" t="n">
        <v>1</v>
      </c>
      <c r="H12" s="2" t="n">
        <v>1</v>
      </c>
      <c r="I12" s="2" t="n">
        <v>1</v>
      </c>
      <c r="J12" s="2" t="n">
        <v>1</v>
      </c>
      <c r="K12" s="2" t="n">
        <v>1</v>
      </c>
      <c r="L12" s="2" t="n">
        <v>1</v>
      </c>
      <c r="M12" s="2" t="n">
        <v>1</v>
      </c>
      <c r="N12" s="2" t="n">
        <v>1</v>
      </c>
      <c r="O12" s="2" t="n">
        <v>1</v>
      </c>
      <c r="P12" s="2" t="n">
        <v>1</v>
      </c>
      <c r="Q12" s="2" t="n">
        <v>1</v>
      </c>
      <c r="R12" s="2" t="n">
        <v>1</v>
      </c>
    </row>
    <row r="13" customFormat="false" ht="15" hidden="false" customHeight="false" outlineLevel="0" collapsed="false">
      <c r="A13" s="0" t="s">
        <v>90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</row>
    <row r="15" customFormat="false" ht="15" hidden="false" customHeight="false" outlineLevel="0" collapsed="false">
      <c r="A15" s="5" t="s">
        <v>93</v>
      </c>
      <c r="B15" s="2" t="n">
        <v>0.9</v>
      </c>
      <c r="C15" s="2" t="n">
        <v>1</v>
      </c>
      <c r="D15" s="2" t="n">
        <v>1</v>
      </c>
      <c r="E15" s="2" t="n">
        <v>1</v>
      </c>
      <c r="F15" s="2" t="n">
        <v>0</v>
      </c>
    </row>
    <row r="16" customFormat="false" ht="15" hidden="false" customHeight="false" outlineLevel="0" collapsed="false">
      <c r="A16" s="0" t="s">
        <v>89</v>
      </c>
      <c r="G16" s="2" t="n">
        <v>1</v>
      </c>
      <c r="H16" s="2" t="n">
        <v>1</v>
      </c>
      <c r="I16" s="2" t="n">
        <v>1</v>
      </c>
      <c r="J16" s="2" t="n">
        <v>1</v>
      </c>
      <c r="K16" s="2" t="n">
        <v>1</v>
      </c>
      <c r="L16" s="2" t="n">
        <v>1</v>
      </c>
      <c r="M16" s="2" t="n">
        <v>1</v>
      </c>
      <c r="N16" s="2" t="n">
        <v>1</v>
      </c>
      <c r="O16" s="2" t="n">
        <v>1</v>
      </c>
      <c r="P16" s="2" t="n">
        <v>1</v>
      </c>
      <c r="Q16" s="2" t="n">
        <v>1</v>
      </c>
      <c r="R16" s="2" t="n">
        <v>1</v>
      </c>
    </row>
    <row r="17" customFormat="false" ht="15" hidden="false" customHeight="false" outlineLevel="0" collapsed="false">
      <c r="A17" s="0" t="s">
        <v>90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</row>
    <row r="19" customFormat="false" ht="15" hidden="false" customHeight="false" outlineLevel="0" collapsed="false">
      <c r="A19" s="5" t="s">
        <v>94</v>
      </c>
      <c r="B19" s="2" t="n">
        <v>1</v>
      </c>
      <c r="C19" s="2" t="n">
        <v>1.1</v>
      </c>
      <c r="D19" s="2" t="n">
        <v>1</v>
      </c>
      <c r="E19" s="2" t="n">
        <v>1</v>
      </c>
      <c r="F19" s="2" t="n">
        <v>0</v>
      </c>
    </row>
    <row r="20" customFormat="false" ht="15" hidden="false" customHeight="false" outlineLevel="0" collapsed="false">
      <c r="A20" s="0" t="s">
        <v>89</v>
      </c>
      <c r="G20" s="2" t="n">
        <v>1</v>
      </c>
      <c r="H20" s="2" t="n">
        <v>1</v>
      </c>
      <c r="I20" s="2" t="n">
        <v>1</v>
      </c>
      <c r="J20" s="2" t="n">
        <v>1</v>
      </c>
      <c r="K20" s="2" t="n">
        <v>1</v>
      </c>
      <c r="L20" s="2" t="n">
        <v>1</v>
      </c>
      <c r="M20" s="2" t="n">
        <v>1</v>
      </c>
      <c r="N20" s="2" t="n">
        <v>1</v>
      </c>
      <c r="O20" s="2" t="n">
        <v>1</v>
      </c>
      <c r="P20" s="2" t="n">
        <v>1</v>
      </c>
      <c r="Q20" s="2" t="n">
        <v>1</v>
      </c>
      <c r="R20" s="2" t="n">
        <v>1</v>
      </c>
    </row>
    <row r="21" customFormat="false" ht="15" hidden="false" customHeight="false" outlineLevel="0" collapsed="false">
      <c r="A21" s="0" t="s">
        <v>90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</row>
    <row r="23" customFormat="false" ht="15" hidden="false" customHeight="false" outlineLevel="0" collapsed="false">
      <c r="A23" s="5" t="s">
        <v>95</v>
      </c>
      <c r="B23" s="2" t="n">
        <v>1</v>
      </c>
      <c r="C23" s="2" t="n">
        <v>1</v>
      </c>
      <c r="D23" s="2" t="n">
        <v>0.5</v>
      </c>
      <c r="E23" s="2" t="n">
        <v>1</v>
      </c>
      <c r="F23" s="2" t="n">
        <v>0</v>
      </c>
    </row>
    <row r="24" customFormat="false" ht="15" hidden="false" customHeight="false" outlineLevel="0" collapsed="false">
      <c r="A24" s="0" t="s">
        <v>89</v>
      </c>
      <c r="G24" s="2" t="n">
        <v>1</v>
      </c>
      <c r="H24" s="2" t="n">
        <v>1</v>
      </c>
      <c r="I24" s="2" t="n">
        <v>1</v>
      </c>
      <c r="J24" s="2" t="n">
        <v>1</v>
      </c>
      <c r="K24" s="2" t="n">
        <v>1</v>
      </c>
      <c r="L24" s="2" t="n">
        <v>1</v>
      </c>
      <c r="M24" s="2" t="n">
        <v>1</v>
      </c>
      <c r="N24" s="2" t="n">
        <v>1</v>
      </c>
      <c r="O24" s="2" t="n">
        <v>1</v>
      </c>
      <c r="P24" s="2" t="n">
        <v>1</v>
      </c>
      <c r="Q24" s="2" t="n">
        <v>1</v>
      </c>
      <c r="R24" s="2" t="n">
        <v>1</v>
      </c>
    </row>
    <row r="25" customFormat="false" ht="15" hidden="false" customHeight="false" outlineLevel="0" collapsed="false">
      <c r="A25" s="0" t="s">
        <v>90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</row>
    <row r="27" customFormat="false" ht="15" hidden="false" customHeight="false" outlineLevel="0" collapsed="false">
      <c r="A27" s="5" t="s">
        <v>96</v>
      </c>
      <c r="B27" s="2" t="n">
        <v>1</v>
      </c>
      <c r="C27" s="2" t="n">
        <v>1.15</v>
      </c>
      <c r="D27" s="2" t="n">
        <v>1</v>
      </c>
      <c r="E27" s="2" t="n">
        <v>1</v>
      </c>
      <c r="F27" s="2" t="n">
        <v>0</v>
      </c>
    </row>
    <row r="28" customFormat="false" ht="15" hidden="false" customHeight="false" outlineLevel="0" collapsed="false">
      <c r="A28" s="0" t="s">
        <v>89</v>
      </c>
      <c r="G28" s="2" t="n">
        <v>1</v>
      </c>
      <c r="H28" s="2" t="n">
        <v>1</v>
      </c>
      <c r="I28" s="2" t="n">
        <v>1</v>
      </c>
      <c r="J28" s="2" t="n">
        <v>1</v>
      </c>
      <c r="K28" s="2" t="n">
        <v>1</v>
      </c>
      <c r="L28" s="2" t="n">
        <v>1</v>
      </c>
      <c r="M28" s="2" t="n">
        <v>1</v>
      </c>
      <c r="N28" s="2" t="n">
        <v>1</v>
      </c>
      <c r="O28" s="2" t="n">
        <v>1</v>
      </c>
      <c r="P28" s="2" t="n">
        <v>1</v>
      </c>
      <c r="Q28" s="2" t="n">
        <v>1</v>
      </c>
      <c r="R28" s="2" t="n">
        <v>1</v>
      </c>
    </row>
    <row r="29" customFormat="false" ht="15" hidden="false" customHeight="false" outlineLevel="0" collapsed="false">
      <c r="A29" s="0" t="s">
        <v>90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</row>
    <row r="31" customFormat="false" ht="15" hidden="false" customHeight="false" outlineLevel="0" collapsed="false">
      <c r="A31" s="5" t="s">
        <v>97</v>
      </c>
      <c r="B31" s="2" t="n">
        <v>1</v>
      </c>
      <c r="C31" s="2" t="n">
        <v>1</v>
      </c>
      <c r="D31" s="2" t="n">
        <v>1</v>
      </c>
      <c r="E31" s="2" t="n">
        <v>1</v>
      </c>
      <c r="F31" s="2" t="n">
        <v>30</v>
      </c>
    </row>
    <row r="32" customFormat="false" ht="15" hidden="false" customHeight="false" outlineLevel="0" collapsed="false">
      <c r="A32" s="0" t="s">
        <v>89</v>
      </c>
      <c r="G32" s="2" t="n">
        <v>1</v>
      </c>
      <c r="H32" s="2" t="n">
        <v>1</v>
      </c>
      <c r="I32" s="2" t="n">
        <v>1</v>
      </c>
      <c r="J32" s="2" t="n">
        <v>1</v>
      </c>
      <c r="K32" s="2" t="n">
        <v>1</v>
      </c>
      <c r="L32" s="2" t="n">
        <v>1</v>
      </c>
      <c r="M32" s="2" t="n">
        <v>1</v>
      </c>
      <c r="N32" s="2" t="n">
        <v>1</v>
      </c>
      <c r="O32" s="2" t="n">
        <v>1</v>
      </c>
      <c r="P32" s="2" t="n">
        <v>1</v>
      </c>
      <c r="Q32" s="2" t="n">
        <v>1</v>
      </c>
      <c r="R32" s="2" t="n">
        <v>1</v>
      </c>
    </row>
    <row r="33" customFormat="false" ht="15" hidden="false" customHeight="false" outlineLevel="0" collapsed="false">
      <c r="A33" s="0" t="s">
        <v>90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</row>
    <row r="35" customFormat="false" ht="15" hidden="false" customHeight="false" outlineLevel="0" collapsed="false">
      <c r="A35" s="5" t="s">
        <v>98</v>
      </c>
      <c r="B35" s="2" t="n">
        <v>1</v>
      </c>
      <c r="C35" s="2" t="n">
        <v>1</v>
      </c>
      <c r="D35" s="2" t="n">
        <v>1</v>
      </c>
      <c r="E35" s="2" t="n">
        <v>1</v>
      </c>
      <c r="F35" s="2" t="n">
        <v>0</v>
      </c>
    </row>
    <row r="36" customFormat="false" ht="15" hidden="false" customHeight="false" outlineLevel="0" collapsed="false">
      <c r="A36" s="0" t="s">
        <v>89</v>
      </c>
      <c r="G36" s="2" t="n">
        <v>1</v>
      </c>
      <c r="H36" s="2" t="n">
        <v>1</v>
      </c>
      <c r="I36" s="2" t="n">
        <v>1</v>
      </c>
      <c r="J36" s="2" t="n">
        <v>1</v>
      </c>
      <c r="K36" s="2" t="n">
        <v>0.4</v>
      </c>
      <c r="L36" s="2" t="n">
        <v>0.4</v>
      </c>
      <c r="M36" s="2" t="n">
        <v>1</v>
      </c>
      <c r="N36" s="2" t="n">
        <v>1</v>
      </c>
      <c r="O36" s="2" t="n">
        <v>1</v>
      </c>
      <c r="P36" s="2" t="n">
        <v>1</v>
      </c>
      <c r="Q36" s="2" t="n">
        <v>1</v>
      </c>
      <c r="R36" s="2" t="n">
        <v>1</v>
      </c>
    </row>
    <row r="37" customFormat="false" ht="15" hidden="false" customHeight="false" outlineLevel="0" collapsed="false">
      <c r="A37" s="0" t="s">
        <v>90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15000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</row>
    <row r="39" customFormat="false" ht="15" hidden="false" customHeight="false" outlineLevel="0" collapsed="false">
      <c r="A39" s="5" t="s">
        <v>99</v>
      </c>
      <c r="B39" s="2" t="n">
        <v>1</v>
      </c>
      <c r="C39" s="2" t="n">
        <v>1</v>
      </c>
      <c r="D39" s="2" t="n">
        <v>1</v>
      </c>
      <c r="E39" s="2" t="n">
        <v>0.5</v>
      </c>
      <c r="F39" s="2" t="n">
        <v>0</v>
      </c>
    </row>
    <row r="40" customFormat="false" ht="15" hidden="false" customHeight="false" outlineLevel="0" collapsed="false">
      <c r="A40" s="0" t="s">
        <v>89</v>
      </c>
      <c r="G40" s="2" t="n">
        <v>1</v>
      </c>
      <c r="H40" s="2" t="n">
        <v>1</v>
      </c>
      <c r="I40" s="2" t="n">
        <v>1</v>
      </c>
      <c r="J40" s="2" t="n">
        <v>1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s="2" t="n">
        <v>1</v>
      </c>
      <c r="Q40" s="2" t="n">
        <v>1</v>
      </c>
      <c r="R40" s="2" t="n">
        <v>1</v>
      </c>
    </row>
    <row r="41" customFormat="false" ht="15" hidden="false" customHeight="false" outlineLevel="0" collapsed="false">
      <c r="A41" s="0" t="s">
        <v>90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</row>
    <row r="43" customFormat="false" ht="15" hidden="false" customHeight="false" outlineLevel="0" collapsed="false">
      <c r="A43" s="5" t="s">
        <v>100</v>
      </c>
      <c r="B43" s="2" t="n">
        <v>1</v>
      </c>
      <c r="C43" s="2" t="n">
        <v>1</v>
      </c>
      <c r="D43" s="2" t="n">
        <v>1</v>
      </c>
      <c r="E43" s="2" t="n">
        <v>1</v>
      </c>
      <c r="F43" s="2" t="n">
        <v>0</v>
      </c>
    </row>
    <row r="44" customFormat="false" ht="15" hidden="false" customHeight="false" outlineLevel="0" collapsed="false">
      <c r="A44" s="0" t="s">
        <v>89</v>
      </c>
      <c r="G44" s="2" t="n">
        <v>0.6</v>
      </c>
      <c r="H44" s="2" t="n">
        <v>0.6</v>
      </c>
      <c r="I44" s="2" t="n">
        <v>0.6</v>
      </c>
      <c r="J44" s="2" t="n">
        <v>0.6</v>
      </c>
      <c r="K44" s="2" t="n">
        <v>0.6</v>
      </c>
      <c r="L44" s="2" t="n">
        <v>0.6</v>
      </c>
      <c r="M44" s="2" t="n">
        <v>1.4</v>
      </c>
      <c r="N44" s="2" t="n">
        <v>1.4</v>
      </c>
      <c r="O44" s="2" t="n">
        <v>1.4</v>
      </c>
      <c r="P44" s="2" t="n">
        <v>1.4</v>
      </c>
      <c r="Q44" s="2" t="n">
        <v>1.4</v>
      </c>
      <c r="R44" s="2" t="n">
        <v>1.4</v>
      </c>
    </row>
    <row r="45" customFormat="false" ht="15" hidden="false" customHeight="false" outlineLevel="0" collapsed="false">
      <c r="A45" s="0" t="s">
        <v>90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</row>
    <row r="47" customFormat="false" ht="15" hidden="false" customHeight="false" outlineLevel="0" collapsed="false">
      <c r="A47" s="5" t="s">
        <v>101</v>
      </c>
      <c r="B47" s="2" t="n">
        <v>1</v>
      </c>
      <c r="C47" s="2" t="n">
        <v>1</v>
      </c>
      <c r="D47" s="2" t="n">
        <v>1</v>
      </c>
      <c r="E47" s="2" t="n">
        <v>1</v>
      </c>
      <c r="F47" s="2" t="n">
        <v>0</v>
      </c>
    </row>
    <row r="48" customFormat="false" ht="15" hidden="false" customHeight="false" outlineLevel="0" collapsed="false">
      <c r="A48" s="0" t="s">
        <v>89</v>
      </c>
      <c r="G48" s="2" t="n">
        <v>1</v>
      </c>
      <c r="H48" s="2" t="n">
        <v>1</v>
      </c>
      <c r="I48" s="2" t="n">
        <v>1</v>
      </c>
      <c r="J48" s="2" t="n">
        <v>1</v>
      </c>
      <c r="K48" s="2" t="n">
        <v>1</v>
      </c>
      <c r="L48" s="2" t="n">
        <v>1</v>
      </c>
      <c r="M48" s="2" t="n">
        <v>1</v>
      </c>
      <c r="N48" s="2" t="n">
        <v>1</v>
      </c>
      <c r="O48" s="2" t="n">
        <v>1</v>
      </c>
      <c r="P48" s="2" t="n">
        <v>1</v>
      </c>
      <c r="Q48" s="2" t="n">
        <v>1</v>
      </c>
      <c r="R48" s="2" t="n">
        <v>1</v>
      </c>
    </row>
    <row r="49" customFormat="false" ht="15" hidden="false" customHeight="false" outlineLevel="0" collapsed="false">
      <c r="A49" s="0" t="s">
        <v>90</v>
      </c>
      <c r="G49" s="2" t="n">
        <v>0</v>
      </c>
      <c r="H49" s="2" t="n">
        <v>0</v>
      </c>
      <c r="I49" s="2" t="n">
        <v>0</v>
      </c>
      <c r="J49" s="2" t="n">
        <v>25000</v>
      </c>
      <c r="K49" s="2" t="n">
        <v>0</v>
      </c>
      <c r="L49" s="2" t="n">
        <v>0</v>
      </c>
      <c r="M49" s="2" t="n">
        <v>0</v>
      </c>
      <c r="N49" s="2" t="n">
        <v>20000</v>
      </c>
      <c r="O49" s="2" t="n">
        <v>0</v>
      </c>
      <c r="P49" s="2" t="n">
        <v>0</v>
      </c>
      <c r="Q49" s="2" t="n">
        <v>0</v>
      </c>
      <c r="R49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41.75" hidden="false" customHeight="false" outlineLevel="0" collapsed="false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customFormat="false" ht="15" hidden="false" customHeight="false" outlineLevel="0" collapsed="false">
      <c r="A2" s="0" t="s">
        <v>108</v>
      </c>
      <c r="B2" s="2" t="n">
        <v>0</v>
      </c>
      <c r="C2" s="2" t="n">
        <v>55000</v>
      </c>
      <c r="D2" s="2" t="n">
        <v>0</v>
      </c>
      <c r="E2" s="2" t="n">
        <v>55000</v>
      </c>
      <c r="F2" s="3" t="s">
        <v>109</v>
      </c>
    </row>
    <row r="3" customFormat="false" ht="15" hidden="false" customHeight="false" outlineLevel="0" collapsed="false">
      <c r="A3" s="0" t="s">
        <v>110</v>
      </c>
      <c r="B3" s="2" t="n">
        <v>8000</v>
      </c>
      <c r="C3" s="2" t="n">
        <v>15000</v>
      </c>
      <c r="D3" s="2" t="n">
        <v>15000</v>
      </c>
      <c r="E3" s="2" t="n">
        <v>15000</v>
      </c>
      <c r="F3" s="3" t="s">
        <v>111</v>
      </c>
    </row>
    <row r="4" customFormat="false" ht="15" hidden="false" customHeight="false" outlineLevel="0" collapsed="false">
      <c r="A4" s="0" t="s">
        <v>112</v>
      </c>
      <c r="B4" s="2" t="n">
        <v>10000</v>
      </c>
      <c r="C4" s="2" t="n">
        <v>30000</v>
      </c>
      <c r="D4" s="2" t="n">
        <v>30000</v>
      </c>
      <c r="E4" s="2" t="n">
        <v>30000</v>
      </c>
      <c r="F4" s="3" t="s">
        <v>113</v>
      </c>
    </row>
    <row r="5" customFormat="false" ht="15" hidden="false" customHeight="false" outlineLevel="0" collapsed="false">
      <c r="A5" s="0" t="s">
        <v>114</v>
      </c>
      <c r="B5" s="2" t="n">
        <v>0</v>
      </c>
      <c r="C5" s="2" t="n">
        <v>15000</v>
      </c>
      <c r="D5" s="2" t="n">
        <v>15000</v>
      </c>
      <c r="E5" s="2" t="n">
        <v>15000</v>
      </c>
      <c r="F5" s="3" t="s">
        <v>115</v>
      </c>
    </row>
    <row r="6" customFormat="false" ht="15" hidden="false" customHeight="false" outlineLevel="0" collapsed="false">
      <c r="A6" s="0" t="s">
        <v>116</v>
      </c>
      <c r="B6" s="2" t="n">
        <v>0</v>
      </c>
      <c r="C6" s="2" t="n">
        <v>25000</v>
      </c>
      <c r="D6" s="2" t="n">
        <v>0</v>
      </c>
      <c r="E6" s="2" t="n">
        <v>25000</v>
      </c>
      <c r="F6" s="3" t="s">
        <v>117</v>
      </c>
    </row>
    <row r="7" customFormat="false" ht="15" hidden="false" customHeight="false" outlineLevel="0" collapsed="false">
      <c r="A7" s="0" t="s">
        <v>118</v>
      </c>
      <c r="B7" s="2" t="n">
        <v>25000</v>
      </c>
      <c r="C7" s="2" t="n">
        <v>40000</v>
      </c>
      <c r="D7" s="2" t="n">
        <v>40000</v>
      </c>
      <c r="E7" s="2" t="n">
        <v>40000</v>
      </c>
      <c r="F7" s="3" t="s">
        <v>119</v>
      </c>
    </row>
    <row r="8" customFormat="false" ht="15" hidden="false" customHeight="false" outlineLevel="0" collapsed="false">
      <c r="A8" s="0" t="s">
        <v>120</v>
      </c>
      <c r="B8" s="2" t="n">
        <v>0</v>
      </c>
      <c r="C8" s="2" t="n">
        <v>20000</v>
      </c>
      <c r="D8" s="2" t="n">
        <v>20000</v>
      </c>
      <c r="E8" s="2" t="n">
        <v>20000</v>
      </c>
      <c r="F8" s="3" t="s">
        <v>121</v>
      </c>
    </row>
    <row r="9" customFormat="false" ht="15" hidden="false" customHeight="false" outlineLevel="0" collapsed="false">
      <c r="A9" s="0" t="s">
        <v>122</v>
      </c>
      <c r="B9" s="2" t="n">
        <v>12000</v>
      </c>
      <c r="C9" s="2" t="n">
        <v>20000</v>
      </c>
      <c r="D9" s="2" t="n">
        <v>20000</v>
      </c>
      <c r="E9" s="2" t="n">
        <v>20000</v>
      </c>
      <c r="F9" s="3" t="s">
        <v>123</v>
      </c>
    </row>
    <row r="10" customFormat="false" ht="15" hidden="false" customHeight="false" outlineLevel="0" collapsed="false">
      <c r="A10" s="0" t="s">
        <v>124</v>
      </c>
      <c r="B10" s="2" t="n">
        <v>12000</v>
      </c>
      <c r="C10" s="2" t="n">
        <v>25000</v>
      </c>
      <c r="D10" s="2" t="n">
        <v>25000</v>
      </c>
      <c r="E10" s="2" t="n">
        <v>25000</v>
      </c>
      <c r="F10" s="3" t="s">
        <v>125</v>
      </c>
    </row>
    <row r="11" customFormat="false" ht="15" hidden="false" customHeight="false" outlineLevel="0" collapsed="false">
      <c r="A11" s="0" t="s">
        <v>126</v>
      </c>
      <c r="B11" s="2" t="n">
        <v>5000</v>
      </c>
      <c r="C11" s="2" t="n">
        <v>10000</v>
      </c>
      <c r="D11" s="2" t="n">
        <v>10000</v>
      </c>
      <c r="E11" s="2" t="n">
        <v>10000</v>
      </c>
      <c r="F11" s="3" t="s">
        <v>127</v>
      </c>
    </row>
    <row r="12" customFormat="false" ht="15" hidden="false" customHeight="false" outlineLevel="0" collapsed="false">
      <c r="A12" s="0" t="s">
        <v>128</v>
      </c>
      <c r="B12" s="2" t="n">
        <v>0</v>
      </c>
      <c r="C12" s="2" t="n">
        <v>10000</v>
      </c>
      <c r="D12" s="2" t="n">
        <v>10000</v>
      </c>
      <c r="E12" s="2" t="n">
        <v>10000</v>
      </c>
      <c r="F12" s="3" t="s">
        <v>129</v>
      </c>
    </row>
    <row r="13" customFormat="false" ht="15" hidden="false" customHeight="false" outlineLevel="0" collapsed="false">
      <c r="A13" s="0" t="s">
        <v>130</v>
      </c>
      <c r="B13" s="2" t="n">
        <v>0</v>
      </c>
      <c r="C13" s="2" t="n">
        <v>0</v>
      </c>
      <c r="D13" s="2" t="n">
        <v>0</v>
      </c>
      <c r="E13" s="2" t="n">
        <v>250000</v>
      </c>
      <c r="F13" s="3" t="s">
        <v>131</v>
      </c>
    </row>
    <row r="14" customFormat="false" ht="15" hidden="false" customHeight="false" outlineLevel="0" collapsed="false">
      <c r="A14" s="5" t="s">
        <v>132</v>
      </c>
      <c r="B14" s="3" t="n">
        <f aca="false">SUM(B2:B13)</f>
        <v>72000</v>
      </c>
      <c r="C14" s="3" t="n">
        <f aca="false">SUM(C2:C13)</f>
        <v>265000</v>
      </c>
      <c r="D14" s="3" t="n">
        <f aca="false">SUM(D2:D13)</f>
        <v>185000</v>
      </c>
      <c r="E14" s="3" t="n">
        <f aca="false">SUM(E2:E13)</f>
        <v>515000</v>
      </c>
    </row>
    <row r="15" customFormat="false" ht="15" hidden="false" customHeight="false" outlineLevel="0" collapsed="false">
      <c r="A15" s="0" t="s">
        <v>133</v>
      </c>
      <c r="B15" s="2" t="n">
        <v>60000</v>
      </c>
      <c r="C15" s="2" t="n">
        <v>185000</v>
      </c>
      <c r="D15" s="3" t="n">
        <f aca="false">C15+(C2-D2)+(C6-D6)</f>
        <v>265000</v>
      </c>
      <c r="E15" s="2" t="n">
        <v>185000</v>
      </c>
    </row>
    <row r="16" customFormat="false" ht="15" hidden="false" customHeight="false" outlineLevel="0" collapsed="false">
      <c r="A16" s="0" t="s">
        <v>134</v>
      </c>
      <c r="B16" s="2" t="n">
        <v>18000</v>
      </c>
      <c r="C16" s="2" t="n">
        <v>50000</v>
      </c>
      <c r="D16" s="2" t="n">
        <v>50000</v>
      </c>
      <c r="E16" s="2" t="n">
        <v>50000</v>
      </c>
    </row>
    <row r="17" customFormat="false" ht="15" hidden="false" customHeight="false" outlineLevel="0" collapsed="false">
      <c r="A17" s="5" t="s">
        <v>135</v>
      </c>
      <c r="B17" s="5" t="n">
        <f aca="false">B14+B15+B16</f>
        <v>150000</v>
      </c>
      <c r="C17" s="5" t="n">
        <f aca="false">C14+C15+C16</f>
        <v>500000</v>
      </c>
      <c r="D17" s="5" t="n">
        <f aca="false">D14+D15+D16</f>
        <v>500000</v>
      </c>
      <c r="E17" s="5" t="n">
        <f aca="false">E14+E15+E16</f>
        <v>750000</v>
      </c>
    </row>
    <row r="18" customFormat="false" ht="15" hidden="false" customHeight="false" outlineLevel="0" collapsed="false">
      <c r="A18" s="0" t="s">
        <v>136</v>
      </c>
      <c r="B18" s="0" t="str">
        <f aca="false">IF(B17&lt;=Assumptions!$B$2,"YES","NO - exceeds by "&amp;TEXT(B17-Assumptions!$B$2,"#,##0"))</f>
        <v>YES</v>
      </c>
      <c r="C18" s="0" t="str">
        <f aca="false">IF(C17&lt;=Assumptions!$B$2,"YES","NO - exceeds by "&amp;TEXT(C17-Assumptions!$B$2,"#,##0"))</f>
        <v>YES</v>
      </c>
      <c r="D18" s="0" t="str">
        <f aca="false">IF(D17&lt;=Assumptions!$B$2,"YES","NO - exceeds by "&amp;TEXT(D17-Assumptions!$B$2,"#,##0"))</f>
        <v>YES</v>
      </c>
      <c r="E18" s="0" t="str">
        <f aca="false">IF(E17&lt;=Assumptions!$B$2,"YES","NO - exceeds by "&amp;TEXT(E17-Assumptions!$B$2,"#,##0"))</f>
        <v>NO - exceeds by 250,000</v>
      </c>
    </row>
    <row r="20" customFormat="false" ht="15" hidden="false" customHeight="false" outlineLevel="0" collapsed="false">
      <c r="A20" s="5" t="s">
        <v>137</v>
      </c>
      <c r="C20" s="3" t="n">
        <f aca="false">C15+C16</f>
        <v>235000</v>
      </c>
    </row>
    <row r="21" customFormat="false" ht="15" hidden="false" customHeight="false" outlineLevel="0" collapsed="false">
      <c r="A21" s="0" t="s">
        <v>138</v>
      </c>
    </row>
    <row r="22" customFormat="false" ht="15" hidden="false" customHeight="false" outlineLevel="0" collapsed="false">
      <c r="A22" s="0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0"/>
    <col collapsed="false" customWidth="true" hidden="false" outlineLevel="0" max="11" min="11" style="0" width="70"/>
  </cols>
  <sheetData>
    <row r="1" customFormat="false" ht="68.65" hidden="false" customHeight="false" outlineLevel="0" collapsed="false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</row>
    <row r="2" customFormat="false" ht="15" hidden="false" customHeight="false" outlineLevel="0" collapsed="false">
      <c r="A2" s="0" t="s">
        <v>151</v>
      </c>
      <c r="B2" s="0" t="s">
        <v>152</v>
      </c>
      <c r="C2" s="0" t="s">
        <v>153</v>
      </c>
      <c r="D2" s="2" t="n">
        <v>119000</v>
      </c>
      <c r="E2" s="2" t="n">
        <v>0.25</v>
      </c>
      <c r="F2" s="3" t="n">
        <f aca="false">D2*Assumptions!$B$3/100</f>
        <v>190578.5</v>
      </c>
      <c r="G2" s="3" t="n">
        <f aca="false">F2*(1+E2)</f>
        <v>238223.125</v>
      </c>
      <c r="H2" s="3" t="s">
        <v>154</v>
      </c>
      <c r="I2" s="3" t="s">
        <v>155</v>
      </c>
      <c r="J2" s="3" t="s">
        <v>156</v>
      </c>
      <c r="K2" s="3" t="s">
        <v>157</v>
      </c>
    </row>
    <row r="3" customFormat="false" ht="15" hidden="false" customHeight="false" outlineLevel="0" collapsed="false">
      <c r="A3" s="0" t="s">
        <v>151</v>
      </c>
      <c r="B3" s="0" t="s">
        <v>158</v>
      </c>
      <c r="C3" s="0" t="s">
        <v>153</v>
      </c>
      <c r="D3" s="2" t="n">
        <v>127000</v>
      </c>
      <c r="E3" s="2" t="n">
        <v>0.25</v>
      </c>
      <c r="F3" s="3" t="n">
        <f aca="false">D3*Assumptions!$B$3/100</f>
        <v>203390.5</v>
      </c>
      <c r="G3" s="3" t="n">
        <f aca="false">F3*(1+E3)</f>
        <v>254238.125</v>
      </c>
      <c r="H3" s="3" t="s">
        <v>154</v>
      </c>
      <c r="I3" s="3" t="s">
        <v>155</v>
      </c>
      <c r="J3" s="3" t="s">
        <v>156</v>
      </c>
      <c r="K3" s="3" t="s">
        <v>159</v>
      </c>
    </row>
    <row r="4" customFormat="false" ht="15" hidden="false" customHeight="false" outlineLevel="0" collapsed="false">
      <c r="A4" s="0" t="s">
        <v>160</v>
      </c>
      <c r="B4" s="0" t="s">
        <v>161</v>
      </c>
      <c r="C4" s="0" t="s">
        <v>153</v>
      </c>
      <c r="D4" s="2" t="n">
        <v>115000</v>
      </c>
      <c r="E4" s="2" t="n">
        <v>0.25</v>
      </c>
      <c r="F4" s="3" t="n">
        <f aca="false">D4*Assumptions!$B$3/100</f>
        <v>184172.5</v>
      </c>
      <c r="G4" s="3" t="n">
        <f aca="false">F4*(1+E4)</f>
        <v>230215.625</v>
      </c>
      <c r="H4" s="3" t="s">
        <v>154</v>
      </c>
      <c r="I4" s="3" t="s">
        <v>155</v>
      </c>
      <c r="J4" s="3" t="s">
        <v>156</v>
      </c>
      <c r="K4" s="3" t="s">
        <v>162</v>
      </c>
    </row>
    <row r="5" customFormat="false" ht="15" hidden="false" customHeight="false" outlineLevel="0" collapsed="false">
      <c r="A5" s="0" t="s">
        <v>160</v>
      </c>
      <c r="B5" s="0" t="s">
        <v>163</v>
      </c>
      <c r="C5" s="0" t="s">
        <v>153</v>
      </c>
      <c r="D5" s="2" t="n">
        <v>190000</v>
      </c>
      <c r="E5" s="2" t="n">
        <v>0.25</v>
      </c>
      <c r="F5" s="3" t="n">
        <f aca="false">D5*Assumptions!$B$3/100</f>
        <v>304285</v>
      </c>
      <c r="G5" s="3" t="n">
        <f aca="false">F5*(1+E5)</f>
        <v>380356.25</v>
      </c>
      <c r="H5" s="3" t="s">
        <v>164</v>
      </c>
      <c r="I5" s="3" t="s">
        <v>155</v>
      </c>
      <c r="J5" s="3" t="s">
        <v>156</v>
      </c>
      <c r="K5" s="3" t="s">
        <v>165</v>
      </c>
    </row>
    <row r="6" customFormat="false" ht="15" hidden="false" customHeight="false" outlineLevel="0" collapsed="false">
      <c r="A6" s="0" t="s">
        <v>166</v>
      </c>
      <c r="B6" s="0" t="s">
        <v>167</v>
      </c>
      <c r="C6" s="0" t="s">
        <v>153</v>
      </c>
      <c r="D6" s="2" t="n">
        <v>150000</v>
      </c>
      <c r="E6" s="2" t="n">
        <v>0.25</v>
      </c>
      <c r="F6" s="3" t="n">
        <f aca="false">D6*Assumptions!$B$3/100</f>
        <v>240225</v>
      </c>
      <c r="G6" s="3" t="n">
        <f aca="false">F6*(1+E6)</f>
        <v>300281.25</v>
      </c>
      <c r="H6" s="3" t="s">
        <v>164</v>
      </c>
      <c r="I6" s="3" t="s">
        <v>155</v>
      </c>
      <c r="J6" s="3" t="s">
        <v>156</v>
      </c>
      <c r="K6" s="3" t="s">
        <v>168</v>
      </c>
    </row>
    <row r="7" customFormat="false" ht="15" hidden="false" customHeight="false" outlineLevel="0" collapsed="false">
      <c r="A7" s="0" t="s">
        <v>169</v>
      </c>
      <c r="B7" s="0" t="s">
        <v>170</v>
      </c>
      <c r="C7" s="0" t="s">
        <v>153</v>
      </c>
      <c r="D7" s="2" t="n">
        <v>450000</v>
      </c>
      <c r="E7" s="2" t="n">
        <v>0.25</v>
      </c>
      <c r="F7" s="3" t="n">
        <f aca="false">D7*Assumptions!$B$3/100</f>
        <v>720675</v>
      </c>
      <c r="G7" s="3" t="n">
        <f aca="false">F7*(1+E7)</f>
        <v>900843.75</v>
      </c>
      <c r="H7" s="3" t="s">
        <v>171</v>
      </c>
      <c r="I7" s="3" t="s">
        <v>155</v>
      </c>
      <c r="J7" s="3" t="s">
        <v>156</v>
      </c>
      <c r="K7" s="3" t="s">
        <v>168</v>
      </c>
    </row>
    <row r="8" customFormat="false" ht="15" hidden="false" customHeight="false" outlineLevel="0" collapsed="false">
      <c r="A8" s="0" t="s">
        <v>172</v>
      </c>
      <c r="B8" s="0" t="s">
        <v>173</v>
      </c>
      <c r="C8" s="0" t="s">
        <v>174</v>
      </c>
      <c r="D8" s="2" t="n">
        <v>95000</v>
      </c>
      <c r="E8" s="2" t="n">
        <v>0.25</v>
      </c>
      <c r="F8" s="3" t="n">
        <f aca="false">D8*Assumptions!$B$3/100</f>
        <v>152142.5</v>
      </c>
      <c r="G8" s="3" t="n">
        <f aca="false">F8*(1+E8)</f>
        <v>190178.125</v>
      </c>
      <c r="H8" s="3" t="s">
        <v>175</v>
      </c>
      <c r="I8" s="3" t="s">
        <v>155</v>
      </c>
      <c r="J8" s="3" t="s">
        <v>156</v>
      </c>
      <c r="K8" s="3" t="s">
        <v>176</v>
      </c>
    </row>
    <row r="9" customFormat="false" ht="15" hidden="false" customHeight="false" outlineLevel="0" collapsed="false">
      <c r="A9" s="0" t="s">
        <v>172</v>
      </c>
      <c r="B9" s="0" t="s">
        <v>177</v>
      </c>
      <c r="C9" s="0" t="s">
        <v>178</v>
      </c>
      <c r="D9" s="2" t="n">
        <v>285000</v>
      </c>
      <c r="E9" s="2" t="n">
        <v>0.25</v>
      </c>
      <c r="F9" s="3" t="n">
        <f aca="false">D9*Assumptions!$B$3/100</f>
        <v>456427.5</v>
      </c>
      <c r="G9" s="3" t="n">
        <f aca="false">F9*(1+E9)</f>
        <v>570534.375</v>
      </c>
      <c r="H9" s="3" t="s">
        <v>164</v>
      </c>
      <c r="I9" s="3" t="s">
        <v>155</v>
      </c>
      <c r="J9" s="3" t="s">
        <v>156</v>
      </c>
      <c r="K9" s="3" t="s">
        <v>179</v>
      </c>
    </row>
    <row r="11" customFormat="false" ht="15" hidden="false" customHeight="false" outlineLevel="0" collapsed="false">
      <c r="A11" s="6" t="s">
        <v>180</v>
      </c>
    </row>
    <row r="12" customFormat="false" ht="15" hidden="false" customHeight="false" outlineLevel="0" collapsed="false">
      <c r="A12" s="6" t="s">
        <v>181</v>
      </c>
    </row>
    <row r="13" customFormat="false" ht="15" hidden="false" customHeight="false" outlineLevel="0" collapsed="false">
      <c r="A13" s="6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9" min="2" style="0" width="12"/>
  </cols>
  <sheetData>
    <row r="1" customFormat="false" ht="95.5" hidden="false" customHeight="false" outlineLevel="0" collapsed="false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</row>
    <row r="2" customFormat="false" ht="15" hidden="false" customHeight="false" outlineLevel="0" collapsed="false">
      <c r="A2" s="0" t="s">
        <v>204</v>
      </c>
      <c r="B2" s="2" t="n">
        <v>100</v>
      </c>
      <c r="C2" s="2" t="n">
        <v>45</v>
      </c>
      <c r="D2" s="2" t="n">
        <v>2500</v>
      </c>
      <c r="E2" s="2" t="n">
        <v>1500</v>
      </c>
      <c r="F2" s="2" t="n">
        <v>500</v>
      </c>
      <c r="G2" s="2" t="n">
        <v>0.03</v>
      </c>
      <c r="H2" s="2" t="n">
        <v>68</v>
      </c>
      <c r="I2" s="2" t="n">
        <v>0</v>
      </c>
      <c r="J2" s="3" t="n">
        <f aca="false">1.15*D2</f>
        <v>2875</v>
      </c>
      <c r="K2" s="3" t="n">
        <f aca="false">B2*H2+I2+J2</f>
        <v>9675</v>
      </c>
      <c r="L2" s="3" t="n">
        <f aca="false">B2*C2*(1+G2)+D2</f>
        <v>7135</v>
      </c>
      <c r="M2" s="3" t="n">
        <f aca="false">K2-L2-E2</f>
        <v>1040</v>
      </c>
      <c r="N2" s="3" t="n">
        <f aca="false">M2/K2</f>
        <v>0.10749354005168</v>
      </c>
      <c r="O2" s="3" t="n">
        <f aca="false">0.015*K2</f>
        <v>145.125</v>
      </c>
      <c r="P2" s="3" t="n">
        <f aca="false">M2-F2-O2</f>
        <v>394.875</v>
      </c>
      <c r="Q2" s="3" t="n">
        <f aca="false">P2/K2</f>
        <v>0.0408139534883721</v>
      </c>
      <c r="R2" s="0" t="str">
        <f aca="false">IF(P2&gt;=Assumptions!$B$25,"YES","NO")</f>
        <v>NO</v>
      </c>
      <c r="S2" s="3" t="n">
        <f aca="false">IF(AND(R2="YES",OR(A2&lt;&gt;A1,R1&lt;&gt;"YES")),1,0)</f>
        <v>0</v>
      </c>
      <c r="T2" s="2" t="n">
        <v>0.25</v>
      </c>
      <c r="U2" s="3" t="n">
        <f aca="false">(M2+E2)/K2</f>
        <v>0.262532299741602</v>
      </c>
    </row>
    <row r="3" customFormat="false" ht="15" hidden="false" customHeight="false" outlineLevel="0" collapsed="false">
      <c r="A3" s="0" t="s">
        <v>204</v>
      </c>
      <c r="B3" s="2" t="n">
        <v>250</v>
      </c>
      <c r="C3" s="2" t="n">
        <v>34</v>
      </c>
      <c r="D3" s="2" t="n">
        <v>2500</v>
      </c>
      <c r="E3" s="2" t="n">
        <v>1500</v>
      </c>
      <c r="F3" s="2" t="n">
        <v>500</v>
      </c>
      <c r="G3" s="2" t="n">
        <v>0.03</v>
      </c>
      <c r="H3" s="2" t="n">
        <v>52</v>
      </c>
      <c r="I3" s="2" t="n">
        <v>0</v>
      </c>
      <c r="J3" s="3" t="n">
        <f aca="false">1.15*D3</f>
        <v>2875</v>
      </c>
      <c r="K3" s="3" t="n">
        <f aca="false">B3*H3+I3+J3</f>
        <v>15875</v>
      </c>
      <c r="L3" s="3" t="n">
        <f aca="false">B3*C3*(1+G3)+D3</f>
        <v>11255</v>
      </c>
      <c r="M3" s="3" t="n">
        <f aca="false">K3-L3-E3</f>
        <v>3120</v>
      </c>
      <c r="N3" s="3" t="n">
        <f aca="false">M3/K3</f>
        <v>0.196535433070866</v>
      </c>
      <c r="O3" s="3" t="n">
        <f aca="false">0.015*K3</f>
        <v>238.125</v>
      </c>
      <c r="P3" s="3" t="n">
        <f aca="false">M3-F3-O3</f>
        <v>2381.875</v>
      </c>
      <c r="Q3" s="3" t="n">
        <f aca="false">P3/K3</f>
        <v>0.15003937007874</v>
      </c>
      <c r="R3" s="0" t="str">
        <f aca="false">IF(P3&gt;=Assumptions!$B$25,"YES","NO")</f>
        <v>NO</v>
      </c>
      <c r="S3" s="3" t="n">
        <f aca="false">IF(AND(R3="YES",OR(A3&lt;&gt;A2,R2&lt;&gt;"YES")),1,0)</f>
        <v>0</v>
      </c>
      <c r="T3" s="2" t="n">
        <v>0.25</v>
      </c>
      <c r="U3" s="3" t="n">
        <f aca="false">(M3+E3)/K3</f>
        <v>0.291023622047244</v>
      </c>
    </row>
    <row r="4" customFormat="false" ht="15" hidden="false" customHeight="false" outlineLevel="0" collapsed="false">
      <c r="A4" s="0" t="s">
        <v>204</v>
      </c>
      <c r="B4" s="2" t="n">
        <v>500</v>
      </c>
      <c r="C4" s="2" t="n">
        <v>28</v>
      </c>
      <c r="D4" s="2" t="n">
        <v>2500</v>
      </c>
      <c r="E4" s="2" t="n">
        <v>1500</v>
      </c>
      <c r="F4" s="2" t="n">
        <v>500</v>
      </c>
      <c r="G4" s="2" t="n">
        <v>0.03</v>
      </c>
      <c r="H4" s="2" t="n">
        <v>42</v>
      </c>
      <c r="I4" s="2" t="n">
        <v>0</v>
      </c>
      <c r="J4" s="3" t="n">
        <f aca="false">1.15*D4</f>
        <v>2875</v>
      </c>
      <c r="K4" s="3" t="n">
        <f aca="false">B4*H4+I4+J4</f>
        <v>23875</v>
      </c>
      <c r="L4" s="3" t="n">
        <f aca="false">B4*C4*(1+G4)+D4</f>
        <v>16920</v>
      </c>
      <c r="M4" s="3" t="n">
        <f aca="false">K4-L4-E4</f>
        <v>5455</v>
      </c>
      <c r="N4" s="3" t="n">
        <f aca="false">M4/K4</f>
        <v>0.22848167539267</v>
      </c>
      <c r="O4" s="3" t="n">
        <f aca="false">0.015*K4</f>
        <v>358.125</v>
      </c>
      <c r="P4" s="3" t="n">
        <f aca="false">M4-F4-O4</f>
        <v>4596.875</v>
      </c>
      <c r="Q4" s="3" t="n">
        <f aca="false">P4/K4</f>
        <v>0.192539267015707</v>
      </c>
      <c r="R4" s="0" t="str">
        <f aca="false">IF(P4&gt;=Assumptions!$B$25,"YES","NO")</f>
        <v>YES</v>
      </c>
      <c r="S4" s="3" t="n">
        <f aca="false">IF(AND(R4="YES",OR(A4&lt;&gt;A3,R3&lt;&gt;"YES")),1,0)</f>
        <v>1</v>
      </c>
      <c r="T4" s="2" t="n">
        <v>0.25</v>
      </c>
      <c r="U4" s="3" t="n">
        <f aca="false">(M4+E4)/K4</f>
        <v>0.29130890052356</v>
      </c>
    </row>
    <row r="5" customFormat="false" ht="15" hidden="false" customHeight="false" outlineLevel="0" collapsed="false">
      <c r="A5" s="0" t="s">
        <v>204</v>
      </c>
      <c r="B5" s="2" t="n">
        <v>1000</v>
      </c>
      <c r="C5" s="2" t="n">
        <v>23</v>
      </c>
      <c r="D5" s="2" t="n">
        <v>2500</v>
      </c>
      <c r="E5" s="2" t="n">
        <v>1500</v>
      </c>
      <c r="F5" s="2" t="n">
        <v>500</v>
      </c>
      <c r="G5" s="2" t="n">
        <v>0.03</v>
      </c>
      <c r="H5" s="2" t="n">
        <v>34</v>
      </c>
      <c r="I5" s="2" t="n">
        <v>0</v>
      </c>
      <c r="J5" s="3" t="n">
        <f aca="false">1.15*D5</f>
        <v>2875</v>
      </c>
      <c r="K5" s="3" t="n">
        <f aca="false">B5*H5+I5+J5</f>
        <v>36875</v>
      </c>
      <c r="L5" s="3" t="n">
        <f aca="false">B5*C5*(1+G5)+D5</f>
        <v>26190</v>
      </c>
      <c r="M5" s="3" t="n">
        <f aca="false">K5-L5-E5</f>
        <v>9185</v>
      </c>
      <c r="N5" s="3" t="n">
        <f aca="false">M5/K5</f>
        <v>0.249084745762712</v>
      </c>
      <c r="O5" s="3" t="n">
        <f aca="false">0.015*K5</f>
        <v>553.125</v>
      </c>
      <c r="P5" s="3" t="n">
        <f aca="false">M5-F5-O5</f>
        <v>8131.875</v>
      </c>
      <c r="Q5" s="3" t="n">
        <f aca="false">P5/K5</f>
        <v>0.220525423728814</v>
      </c>
      <c r="R5" s="0" t="str">
        <f aca="false">IF(P5&gt;=Assumptions!$B$25,"YES","NO")</f>
        <v>YES</v>
      </c>
      <c r="S5" s="3" t="n">
        <f aca="false">IF(AND(R5="YES",OR(A5&lt;&gt;A4,R4&lt;&gt;"YES")),1,0)</f>
        <v>0</v>
      </c>
      <c r="T5" s="2" t="n">
        <v>0.25</v>
      </c>
      <c r="U5" s="3" t="n">
        <f aca="false">(M5+E5)/K5</f>
        <v>0.289762711864407</v>
      </c>
    </row>
    <row r="6" customFormat="false" ht="15" hidden="false" customHeight="false" outlineLevel="0" collapsed="false">
      <c r="A6" s="0" t="s">
        <v>204</v>
      </c>
      <c r="B6" s="2" t="n">
        <v>5000</v>
      </c>
      <c r="C6" s="2" t="n">
        <v>19</v>
      </c>
      <c r="D6" s="2" t="n">
        <v>2500</v>
      </c>
      <c r="E6" s="2" t="n">
        <v>1500</v>
      </c>
      <c r="F6" s="2" t="n">
        <v>500</v>
      </c>
      <c r="G6" s="2" t="n">
        <v>0.03</v>
      </c>
      <c r="H6" s="2" t="n">
        <v>28</v>
      </c>
      <c r="I6" s="2" t="n">
        <v>0</v>
      </c>
      <c r="J6" s="3" t="n">
        <f aca="false">1.15*D6</f>
        <v>2875</v>
      </c>
      <c r="K6" s="3" t="n">
        <f aca="false">B6*H6+I6+J6</f>
        <v>142875</v>
      </c>
      <c r="L6" s="3" t="n">
        <f aca="false">B6*C6*(1+G6)+D6</f>
        <v>100350</v>
      </c>
      <c r="M6" s="3" t="n">
        <f aca="false">K6-L6-E6</f>
        <v>41025</v>
      </c>
      <c r="N6" s="3" t="n">
        <f aca="false">M6/K6</f>
        <v>0.287139107611549</v>
      </c>
      <c r="O6" s="3" t="n">
        <f aca="false">0.015*K6</f>
        <v>2143.125</v>
      </c>
      <c r="P6" s="3" t="n">
        <f aca="false">M6-F6-O6</f>
        <v>38381.875</v>
      </c>
      <c r="Q6" s="3" t="n">
        <f aca="false">P6/K6</f>
        <v>0.268639545056868</v>
      </c>
      <c r="R6" s="0" t="str">
        <f aca="false">IF(P6&gt;=Assumptions!$B$25,"YES","NO")</f>
        <v>YES</v>
      </c>
      <c r="S6" s="3" t="n">
        <f aca="false">IF(AND(R6="YES",OR(A6&lt;&gt;A5,R5&lt;&gt;"YES")),1,0)</f>
        <v>0</v>
      </c>
      <c r="T6" s="2" t="n">
        <v>0.25</v>
      </c>
      <c r="U6" s="3" t="n">
        <f aca="false">(M6+E6)/K6</f>
        <v>0.297637795275591</v>
      </c>
    </row>
    <row r="7" customFormat="false" ht="15" hidden="false" customHeight="false" outlineLevel="0" collapsed="false">
      <c r="A7" s="0" t="s">
        <v>205</v>
      </c>
      <c r="B7" s="2" t="n">
        <v>100</v>
      </c>
      <c r="C7" s="2" t="n">
        <v>95</v>
      </c>
      <c r="D7" s="2" t="n">
        <v>9000</v>
      </c>
      <c r="E7" s="2" t="n">
        <v>3500</v>
      </c>
      <c r="F7" s="2" t="n">
        <v>700</v>
      </c>
      <c r="G7" s="2" t="n">
        <v>0.03</v>
      </c>
      <c r="H7" s="2" t="n">
        <v>150</v>
      </c>
      <c r="I7" s="2" t="n">
        <v>3000</v>
      </c>
      <c r="J7" s="3" t="n">
        <f aca="false">1.15*D7</f>
        <v>10350</v>
      </c>
      <c r="K7" s="3" t="n">
        <f aca="false">B7*H7+I7+J7</f>
        <v>28350</v>
      </c>
      <c r="L7" s="3" t="n">
        <f aca="false">B7*C7*(1+G7)+D7</f>
        <v>18785</v>
      </c>
      <c r="M7" s="3" t="n">
        <f aca="false">K7-L7-E7</f>
        <v>6065</v>
      </c>
      <c r="N7" s="3" t="n">
        <f aca="false">M7/K7</f>
        <v>0.213932980599647</v>
      </c>
      <c r="O7" s="3" t="n">
        <f aca="false">0.015*K7</f>
        <v>425.25</v>
      </c>
      <c r="P7" s="3" t="n">
        <f aca="false">M7-F7-O7</f>
        <v>4939.75</v>
      </c>
      <c r="Q7" s="3" t="n">
        <f aca="false">P7/K7</f>
        <v>0.174241622574956</v>
      </c>
      <c r="R7" s="0" t="str">
        <f aca="false">IF(P7&gt;=Assumptions!$B$25,"YES","NO")</f>
        <v>YES</v>
      </c>
      <c r="S7" s="3" t="n">
        <f aca="false">IF(AND(R7="YES",OR(A7&lt;&gt;A6,R6&lt;&gt;"YES")),1,0)</f>
        <v>1</v>
      </c>
      <c r="T7" s="2" t="n">
        <v>0.2</v>
      </c>
      <c r="U7" s="3" t="n">
        <f aca="false">(M7+E7)/K7</f>
        <v>0.337389770723104</v>
      </c>
    </row>
    <row r="8" customFormat="false" ht="15" hidden="false" customHeight="false" outlineLevel="0" collapsed="false">
      <c r="A8" s="0" t="s">
        <v>205</v>
      </c>
      <c r="B8" s="2" t="n">
        <v>250</v>
      </c>
      <c r="C8" s="2" t="n">
        <v>62</v>
      </c>
      <c r="D8" s="2" t="n">
        <v>9000</v>
      </c>
      <c r="E8" s="2" t="n">
        <v>3500</v>
      </c>
      <c r="F8" s="2" t="n">
        <v>700</v>
      </c>
      <c r="G8" s="2" t="n">
        <v>0.03</v>
      </c>
      <c r="H8" s="2" t="n">
        <v>96</v>
      </c>
      <c r="I8" s="2" t="n">
        <v>3000</v>
      </c>
      <c r="J8" s="3" t="n">
        <f aca="false">1.15*D8</f>
        <v>10350</v>
      </c>
      <c r="K8" s="3" t="n">
        <f aca="false">B8*H8+I8+J8</f>
        <v>37350</v>
      </c>
      <c r="L8" s="3" t="n">
        <f aca="false">B8*C8*(1+G8)+D8</f>
        <v>24965</v>
      </c>
      <c r="M8" s="3" t="n">
        <f aca="false">K8-L8-E8</f>
        <v>8885</v>
      </c>
      <c r="N8" s="3" t="n">
        <f aca="false">M8/K8</f>
        <v>0.237884872824632</v>
      </c>
      <c r="O8" s="3" t="n">
        <f aca="false">0.015*K8</f>
        <v>560.25</v>
      </c>
      <c r="P8" s="3" t="n">
        <f aca="false">M8-F8-O8</f>
        <v>7624.75</v>
      </c>
      <c r="Q8" s="3" t="n">
        <f aca="false">P8/K8</f>
        <v>0.204143239625167</v>
      </c>
      <c r="R8" s="0" t="str">
        <f aca="false">IF(P8&gt;=Assumptions!$B$25,"YES","NO")</f>
        <v>YES</v>
      </c>
      <c r="S8" s="3" t="n">
        <f aca="false">IF(AND(R8="YES",OR(A8&lt;&gt;A7,R7&lt;&gt;"YES")),1,0)</f>
        <v>0</v>
      </c>
      <c r="T8" s="2" t="n">
        <v>0.2</v>
      </c>
      <c r="U8" s="3" t="n">
        <f aca="false">(M8+E8)/K8</f>
        <v>0.331593038821955</v>
      </c>
    </row>
    <row r="9" customFormat="false" ht="15" hidden="false" customHeight="false" outlineLevel="0" collapsed="false">
      <c r="A9" s="0" t="s">
        <v>205</v>
      </c>
      <c r="B9" s="2" t="n">
        <v>500</v>
      </c>
      <c r="C9" s="2" t="n">
        <v>42</v>
      </c>
      <c r="D9" s="2" t="n">
        <v>9000</v>
      </c>
      <c r="E9" s="2" t="n">
        <v>3500</v>
      </c>
      <c r="F9" s="2" t="n">
        <v>700</v>
      </c>
      <c r="G9" s="2" t="n">
        <v>0.03</v>
      </c>
      <c r="H9" s="2" t="n">
        <v>64</v>
      </c>
      <c r="I9" s="2" t="n">
        <v>3000</v>
      </c>
      <c r="J9" s="3" t="n">
        <f aca="false">1.15*D9</f>
        <v>10350</v>
      </c>
      <c r="K9" s="3" t="n">
        <f aca="false">B9*H9+I9+J9</f>
        <v>45350</v>
      </c>
      <c r="L9" s="3" t="n">
        <f aca="false">B9*C9*(1+G9)+D9</f>
        <v>30630</v>
      </c>
      <c r="M9" s="3" t="n">
        <f aca="false">K9-L9-E9</f>
        <v>11220</v>
      </c>
      <c r="N9" s="3" t="n">
        <f aca="false">M9/K9</f>
        <v>0.247409040793826</v>
      </c>
      <c r="O9" s="3" t="n">
        <f aca="false">0.015*K9</f>
        <v>680.25</v>
      </c>
      <c r="P9" s="3" t="n">
        <f aca="false">M9-F9-O9</f>
        <v>9839.75</v>
      </c>
      <c r="Q9" s="3" t="n">
        <f aca="false">P9/K9</f>
        <v>0.216973539140022</v>
      </c>
      <c r="R9" s="0" t="str">
        <f aca="false">IF(P9&gt;=Assumptions!$B$25,"YES","NO")</f>
        <v>YES</v>
      </c>
      <c r="S9" s="3" t="n">
        <f aca="false">IF(AND(R9="YES",OR(A9&lt;&gt;A8,R8&lt;&gt;"YES")),1,0)</f>
        <v>0</v>
      </c>
      <c r="T9" s="2" t="n">
        <v>0.2</v>
      </c>
      <c r="U9" s="3" t="n">
        <f aca="false">(M9+E9)/K9</f>
        <v>0.324586549062845</v>
      </c>
    </row>
    <row r="10" customFormat="false" ht="15" hidden="false" customHeight="false" outlineLevel="0" collapsed="false">
      <c r="A10" s="0" t="s">
        <v>205</v>
      </c>
      <c r="B10" s="2" t="n">
        <v>1000</v>
      </c>
      <c r="C10" s="2" t="n">
        <v>30</v>
      </c>
      <c r="D10" s="2" t="n">
        <v>9000</v>
      </c>
      <c r="E10" s="2" t="n">
        <v>3500</v>
      </c>
      <c r="F10" s="2" t="n">
        <v>700</v>
      </c>
      <c r="G10" s="2" t="n">
        <v>0.03</v>
      </c>
      <c r="H10" s="2" t="n">
        <v>46</v>
      </c>
      <c r="I10" s="2" t="n">
        <v>3000</v>
      </c>
      <c r="J10" s="3" t="n">
        <f aca="false">1.15*D10</f>
        <v>10350</v>
      </c>
      <c r="K10" s="3" t="n">
        <f aca="false">B10*H10+I10+J10</f>
        <v>59350</v>
      </c>
      <c r="L10" s="3" t="n">
        <f aca="false">B10*C10*(1+G10)+D10</f>
        <v>39900</v>
      </c>
      <c r="M10" s="3" t="n">
        <f aca="false">K10-L10-E10</f>
        <v>15950</v>
      </c>
      <c r="N10" s="3" t="n">
        <f aca="false">M10/K10</f>
        <v>0.268744734625105</v>
      </c>
      <c r="O10" s="3" t="n">
        <f aca="false">0.015*K10</f>
        <v>890.25</v>
      </c>
      <c r="P10" s="3" t="n">
        <f aca="false">M10-F10-O10</f>
        <v>14359.75</v>
      </c>
      <c r="Q10" s="3" t="n">
        <f aca="false">P10/K10</f>
        <v>0.241950294860994</v>
      </c>
      <c r="R10" s="0" t="str">
        <f aca="false">IF(P10&gt;=Assumptions!$B$25,"YES","NO")</f>
        <v>YES</v>
      </c>
      <c r="S10" s="3" t="n">
        <f aca="false">IF(AND(R10="YES",OR(A10&lt;&gt;A9,R9&lt;&gt;"YES")),1,0)</f>
        <v>0</v>
      </c>
      <c r="T10" s="2" t="n">
        <v>0.2</v>
      </c>
      <c r="U10" s="3" t="n">
        <f aca="false">(M10+E10)/K10</f>
        <v>0.327716933445661</v>
      </c>
    </row>
    <row r="11" customFormat="false" ht="15" hidden="false" customHeight="false" outlineLevel="0" collapsed="false">
      <c r="A11" s="0" t="s">
        <v>205</v>
      </c>
      <c r="B11" s="2" t="n">
        <v>5000</v>
      </c>
      <c r="C11" s="2" t="n">
        <v>20</v>
      </c>
      <c r="D11" s="2" t="n">
        <v>9000</v>
      </c>
      <c r="E11" s="2" t="n">
        <v>3500</v>
      </c>
      <c r="F11" s="2" t="n">
        <v>700</v>
      </c>
      <c r="G11" s="2" t="n">
        <v>0.03</v>
      </c>
      <c r="H11" s="2" t="n">
        <v>31</v>
      </c>
      <c r="I11" s="2" t="n">
        <v>3000</v>
      </c>
      <c r="J11" s="3" t="n">
        <f aca="false">1.15*D11</f>
        <v>10350</v>
      </c>
      <c r="K11" s="3" t="n">
        <f aca="false">B11*H11+I11+J11</f>
        <v>168350</v>
      </c>
      <c r="L11" s="3" t="n">
        <f aca="false">B11*C11*(1+G11)+D11</f>
        <v>112000</v>
      </c>
      <c r="M11" s="3" t="n">
        <f aca="false">K11-L11-E11</f>
        <v>52850</v>
      </c>
      <c r="N11" s="3" t="n">
        <f aca="false">M11/K11</f>
        <v>0.313929313929314</v>
      </c>
      <c r="O11" s="3" t="n">
        <f aca="false">0.015*K11</f>
        <v>2525.25</v>
      </c>
      <c r="P11" s="3" t="n">
        <f aca="false">M11-F11-O11</f>
        <v>49624.75</v>
      </c>
      <c r="Q11" s="3" t="n">
        <f aca="false">P11/K11</f>
        <v>0.29477130977131</v>
      </c>
      <c r="R11" s="0" t="str">
        <f aca="false">IF(P11&gt;=Assumptions!$B$25,"YES","NO")</f>
        <v>YES</v>
      </c>
      <c r="S11" s="3" t="n">
        <f aca="false">IF(AND(R11="YES",OR(A11&lt;&gt;A10,R10&lt;&gt;"YES")),1,0)</f>
        <v>0</v>
      </c>
      <c r="T11" s="2" t="n">
        <v>0.2</v>
      </c>
      <c r="U11" s="3" t="n">
        <f aca="false">(M11+E11)/K11</f>
        <v>0.334719334719335</v>
      </c>
    </row>
    <row r="12" customFormat="false" ht="15" hidden="false" customHeight="false" outlineLevel="0" collapsed="false">
      <c r="A12" s="0" t="s">
        <v>206</v>
      </c>
      <c r="B12" s="2" t="n">
        <v>100</v>
      </c>
      <c r="C12" s="2" t="n">
        <v>85</v>
      </c>
      <c r="D12" s="2" t="n">
        <v>4000</v>
      </c>
      <c r="E12" s="2" t="n">
        <v>2000</v>
      </c>
      <c r="F12" s="2" t="n">
        <v>700</v>
      </c>
      <c r="G12" s="2" t="n">
        <v>0.03</v>
      </c>
      <c r="H12" s="2" t="n">
        <v>125</v>
      </c>
      <c r="I12" s="2" t="n">
        <v>1500</v>
      </c>
      <c r="J12" s="3" t="n">
        <f aca="false">1.15*D12</f>
        <v>4600</v>
      </c>
      <c r="K12" s="3" t="n">
        <f aca="false">B12*H12+I12+J12</f>
        <v>18600</v>
      </c>
      <c r="L12" s="3" t="n">
        <f aca="false">B12*C12*(1+G12)+D12</f>
        <v>12755</v>
      </c>
      <c r="M12" s="3" t="n">
        <f aca="false">K12-L12-E12</f>
        <v>3845</v>
      </c>
      <c r="N12" s="3" t="n">
        <f aca="false">M12/K12</f>
        <v>0.206720430107527</v>
      </c>
      <c r="O12" s="3" t="n">
        <f aca="false">0.015*K12</f>
        <v>279</v>
      </c>
      <c r="P12" s="3" t="n">
        <f aca="false">M12-F12-O12</f>
        <v>2866</v>
      </c>
      <c r="Q12" s="3" t="n">
        <f aca="false">P12/K12</f>
        <v>0.154086021505376</v>
      </c>
      <c r="R12" s="0" t="str">
        <f aca="false">IF(P12&gt;=Assumptions!$B$25,"YES","NO")</f>
        <v>NO</v>
      </c>
      <c r="S12" s="3" t="n">
        <f aca="false">IF(AND(R12="YES",OR(A12&lt;&gt;A11,R11&lt;&gt;"YES")),1,0)</f>
        <v>0</v>
      </c>
      <c r="T12" s="2" t="n">
        <v>0.2</v>
      </c>
      <c r="U12" s="3" t="n">
        <f aca="false">(M12+E12)/K12</f>
        <v>0.314247311827957</v>
      </c>
    </row>
    <row r="13" customFormat="false" ht="15" hidden="false" customHeight="false" outlineLevel="0" collapsed="false">
      <c r="A13" s="0" t="s">
        <v>206</v>
      </c>
      <c r="B13" s="2" t="n">
        <v>250</v>
      </c>
      <c r="C13" s="2" t="n">
        <v>64</v>
      </c>
      <c r="D13" s="2" t="n">
        <v>4000</v>
      </c>
      <c r="E13" s="2" t="n">
        <v>2000</v>
      </c>
      <c r="F13" s="2" t="n">
        <v>700</v>
      </c>
      <c r="G13" s="2" t="n">
        <v>0.03</v>
      </c>
      <c r="H13" s="2" t="n">
        <v>95</v>
      </c>
      <c r="I13" s="2" t="n">
        <v>1500</v>
      </c>
      <c r="J13" s="3" t="n">
        <f aca="false">1.15*D13</f>
        <v>4600</v>
      </c>
      <c r="K13" s="3" t="n">
        <f aca="false">B13*H13+I13+J13</f>
        <v>29850</v>
      </c>
      <c r="L13" s="3" t="n">
        <f aca="false">B13*C13*(1+G13)+D13</f>
        <v>20480</v>
      </c>
      <c r="M13" s="3" t="n">
        <f aca="false">K13-L13-E13</f>
        <v>7370</v>
      </c>
      <c r="N13" s="3" t="n">
        <f aca="false">M13/K13</f>
        <v>0.246901172529313</v>
      </c>
      <c r="O13" s="3" t="n">
        <f aca="false">0.015*K13</f>
        <v>447.75</v>
      </c>
      <c r="P13" s="3" t="n">
        <f aca="false">M13-F13-O13</f>
        <v>6222.25</v>
      </c>
      <c r="Q13" s="3" t="n">
        <f aca="false">P13/K13</f>
        <v>0.208450586264657</v>
      </c>
      <c r="R13" s="0" t="str">
        <f aca="false">IF(P13&gt;=Assumptions!$B$25,"YES","NO")</f>
        <v>YES</v>
      </c>
      <c r="S13" s="3" t="n">
        <f aca="false">IF(AND(R13="YES",OR(A13&lt;&gt;A12,R12&lt;&gt;"YES")),1,0)</f>
        <v>1</v>
      </c>
      <c r="T13" s="2" t="n">
        <v>0.2</v>
      </c>
      <c r="U13" s="3" t="n">
        <f aca="false">(M13+E13)/K13</f>
        <v>0.313902847571189</v>
      </c>
    </row>
    <row r="14" customFormat="false" ht="15" hidden="false" customHeight="false" outlineLevel="0" collapsed="false">
      <c r="A14" s="0" t="s">
        <v>206</v>
      </c>
      <c r="B14" s="2" t="n">
        <v>500</v>
      </c>
      <c r="C14" s="2" t="n">
        <v>50</v>
      </c>
      <c r="D14" s="2" t="n">
        <v>4000</v>
      </c>
      <c r="E14" s="2" t="n">
        <v>2000</v>
      </c>
      <c r="F14" s="2" t="n">
        <v>700</v>
      </c>
      <c r="G14" s="2" t="n">
        <v>0.03</v>
      </c>
      <c r="H14" s="2" t="n">
        <v>74</v>
      </c>
      <c r="I14" s="2" t="n">
        <v>1500</v>
      </c>
      <c r="J14" s="3" t="n">
        <f aca="false">1.15*D14</f>
        <v>4600</v>
      </c>
      <c r="K14" s="3" t="n">
        <f aca="false">B14*H14+I14+J14</f>
        <v>43100</v>
      </c>
      <c r="L14" s="3" t="n">
        <f aca="false">B14*C14*(1+G14)+D14</f>
        <v>29750</v>
      </c>
      <c r="M14" s="3" t="n">
        <f aca="false">K14-L14-E14</f>
        <v>11350</v>
      </c>
      <c r="N14" s="3" t="n">
        <f aca="false">M14/K14</f>
        <v>0.263341067285383</v>
      </c>
      <c r="O14" s="3" t="n">
        <f aca="false">0.015*K14</f>
        <v>646.5</v>
      </c>
      <c r="P14" s="3" t="n">
        <f aca="false">M14-F14-O14</f>
        <v>10003.5</v>
      </c>
      <c r="Q14" s="3" t="n">
        <f aca="false">P14/K14</f>
        <v>0.232099767981439</v>
      </c>
      <c r="R14" s="0" t="str">
        <f aca="false">IF(P14&gt;=Assumptions!$B$25,"YES","NO")</f>
        <v>YES</v>
      </c>
      <c r="S14" s="3" t="n">
        <f aca="false">IF(AND(R14="YES",OR(A14&lt;&gt;A13,R13&lt;&gt;"YES")),1,0)</f>
        <v>0</v>
      </c>
      <c r="T14" s="2" t="n">
        <v>0.2</v>
      </c>
      <c r="U14" s="3" t="n">
        <f aca="false">(M14+E14)/K14</f>
        <v>0.309744779582367</v>
      </c>
    </row>
    <row r="15" customFormat="false" ht="15" hidden="false" customHeight="false" outlineLevel="0" collapsed="false">
      <c r="A15" s="0" t="s">
        <v>206</v>
      </c>
      <c r="B15" s="2" t="n">
        <v>1000</v>
      </c>
      <c r="C15" s="2" t="n">
        <v>40</v>
      </c>
      <c r="D15" s="2" t="n">
        <v>4000</v>
      </c>
      <c r="E15" s="2" t="n">
        <v>2000</v>
      </c>
      <c r="F15" s="2" t="n">
        <v>700</v>
      </c>
      <c r="G15" s="2" t="n">
        <v>0.03</v>
      </c>
      <c r="H15" s="2" t="n">
        <v>58</v>
      </c>
      <c r="I15" s="2" t="n">
        <v>1500</v>
      </c>
      <c r="J15" s="3" t="n">
        <f aca="false">1.15*D15</f>
        <v>4600</v>
      </c>
      <c r="K15" s="3" t="n">
        <f aca="false">B15*H15+I15+J15</f>
        <v>64100</v>
      </c>
      <c r="L15" s="3" t="n">
        <f aca="false">B15*C15*(1+G15)+D15</f>
        <v>45200</v>
      </c>
      <c r="M15" s="3" t="n">
        <f aca="false">K15-L15-E15</f>
        <v>16900</v>
      </c>
      <c r="N15" s="3" t="n">
        <f aca="false">M15/K15</f>
        <v>0.263650546021841</v>
      </c>
      <c r="O15" s="3" t="n">
        <f aca="false">0.015*K15</f>
        <v>961.5</v>
      </c>
      <c r="P15" s="3" t="n">
        <f aca="false">M15-F15-O15</f>
        <v>15238.5</v>
      </c>
      <c r="Q15" s="3" t="n">
        <f aca="false">P15/K15</f>
        <v>0.237730109204368</v>
      </c>
      <c r="R15" s="0" t="str">
        <f aca="false">IF(P15&gt;=Assumptions!$B$25,"YES","NO")</f>
        <v>YES</v>
      </c>
      <c r="S15" s="3" t="n">
        <f aca="false">IF(AND(R15="YES",OR(A15&lt;&gt;A14,R14&lt;&gt;"YES")),1,0)</f>
        <v>0</v>
      </c>
      <c r="T15" s="2" t="n">
        <v>0.2</v>
      </c>
      <c r="U15" s="3" t="n">
        <f aca="false">(M15+E15)/K15</f>
        <v>0.294851794071763</v>
      </c>
    </row>
    <row r="16" customFormat="false" ht="15" hidden="false" customHeight="false" outlineLevel="0" collapsed="false">
      <c r="A16" s="0" t="s">
        <v>206</v>
      </c>
      <c r="B16" s="2" t="n">
        <v>5000</v>
      </c>
      <c r="C16" s="2" t="n">
        <v>32</v>
      </c>
      <c r="D16" s="2" t="n">
        <v>4000</v>
      </c>
      <c r="E16" s="2" t="n">
        <v>2000</v>
      </c>
      <c r="F16" s="2" t="n">
        <v>700</v>
      </c>
      <c r="G16" s="2" t="n">
        <v>0.03</v>
      </c>
      <c r="H16" s="2" t="n">
        <v>46</v>
      </c>
      <c r="I16" s="2" t="n">
        <v>1500</v>
      </c>
      <c r="J16" s="3" t="n">
        <f aca="false">1.15*D16</f>
        <v>4600</v>
      </c>
      <c r="K16" s="3" t="n">
        <f aca="false">B16*H16+I16+J16</f>
        <v>236100</v>
      </c>
      <c r="L16" s="3" t="n">
        <f aca="false">B16*C16*(1+G16)+D16</f>
        <v>168800</v>
      </c>
      <c r="M16" s="3" t="n">
        <f aca="false">K16-L16-E16</f>
        <v>65300</v>
      </c>
      <c r="N16" s="3" t="n">
        <f aca="false">M16/K16</f>
        <v>0.276577721304532</v>
      </c>
      <c r="O16" s="3" t="n">
        <f aca="false">0.015*K16</f>
        <v>3541.5</v>
      </c>
      <c r="P16" s="3" t="n">
        <f aca="false">M16-F16-O16</f>
        <v>61058.5</v>
      </c>
      <c r="Q16" s="3" t="n">
        <f aca="false">P16/K16</f>
        <v>0.258612875900042</v>
      </c>
      <c r="R16" s="0" t="str">
        <f aca="false">IF(P16&gt;=Assumptions!$B$25,"YES","NO")</f>
        <v>YES</v>
      </c>
      <c r="S16" s="3" t="n">
        <f aca="false">IF(AND(R16="YES",OR(A16&lt;&gt;A15,R15&lt;&gt;"YES")),1,0)</f>
        <v>0</v>
      </c>
      <c r="T16" s="2" t="n">
        <v>0.2</v>
      </c>
      <c r="U16" s="3" t="n">
        <f aca="false">(M16+E16)/K16</f>
        <v>0.285048708174502</v>
      </c>
    </row>
    <row r="17" customFormat="false" ht="15" hidden="false" customHeight="false" outlineLevel="0" collapsed="false">
      <c r="A17" s="0" t="s">
        <v>207</v>
      </c>
      <c r="B17" s="2" t="n">
        <v>100</v>
      </c>
      <c r="C17" s="2" t="n">
        <v>9</v>
      </c>
      <c r="D17" s="2" t="n">
        <v>500</v>
      </c>
      <c r="E17" s="2" t="n">
        <v>800</v>
      </c>
      <c r="F17" s="2" t="n">
        <v>400</v>
      </c>
      <c r="G17" s="2" t="n">
        <v>0.03</v>
      </c>
      <c r="H17" s="2" t="n">
        <v>15</v>
      </c>
      <c r="I17" s="2" t="n">
        <v>0</v>
      </c>
      <c r="J17" s="3" t="n">
        <f aca="false">1.15*D17</f>
        <v>575</v>
      </c>
      <c r="K17" s="3" t="n">
        <f aca="false">B17*H17+I17+J17</f>
        <v>2075</v>
      </c>
      <c r="L17" s="3" t="n">
        <f aca="false">B17*C17*(1+G17)+D17</f>
        <v>1427</v>
      </c>
      <c r="M17" s="3" t="n">
        <f aca="false">K17-L17-E17</f>
        <v>-152</v>
      </c>
      <c r="N17" s="3" t="n">
        <f aca="false">M17/K17</f>
        <v>-0.0732530120481928</v>
      </c>
      <c r="O17" s="3" t="n">
        <f aca="false">0.015*K17</f>
        <v>31.125</v>
      </c>
      <c r="P17" s="3" t="n">
        <f aca="false">M17-F17-O17</f>
        <v>-583.125</v>
      </c>
      <c r="Q17" s="3" t="n">
        <f aca="false">P17/K17</f>
        <v>-0.281024096385542</v>
      </c>
      <c r="R17" s="0" t="str">
        <f aca="false">IF(P17&gt;=Assumptions!$B$25,"YES","NO")</f>
        <v>NO</v>
      </c>
      <c r="S17" s="3" t="n">
        <f aca="false">IF(AND(R17="YES",OR(A17&lt;&gt;A16,R16&lt;&gt;"YES")),1,0)</f>
        <v>0</v>
      </c>
      <c r="T17" s="2" t="n">
        <v>0.1</v>
      </c>
      <c r="U17" s="3" t="n">
        <f aca="false">(M17+E17)/K17</f>
        <v>0.312289156626506</v>
      </c>
    </row>
    <row r="18" customFormat="false" ht="15" hidden="false" customHeight="false" outlineLevel="0" collapsed="false">
      <c r="A18" s="0" t="s">
        <v>207</v>
      </c>
      <c r="B18" s="2" t="n">
        <v>250</v>
      </c>
      <c r="C18" s="2" t="n">
        <v>6.5</v>
      </c>
      <c r="D18" s="2" t="n">
        <v>500</v>
      </c>
      <c r="E18" s="2" t="n">
        <v>800</v>
      </c>
      <c r="F18" s="2" t="n">
        <v>400</v>
      </c>
      <c r="G18" s="2" t="n">
        <v>0.03</v>
      </c>
      <c r="H18" s="2" t="n">
        <v>11</v>
      </c>
      <c r="I18" s="2" t="n">
        <v>0</v>
      </c>
      <c r="J18" s="3" t="n">
        <f aca="false">1.15*D18</f>
        <v>575</v>
      </c>
      <c r="K18" s="3" t="n">
        <f aca="false">B18*H18+I18+J18</f>
        <v>3325</v>
      </c>
      <c r="L18" s="3" t="n">
        <f aca="false">B18*C18*(1+G18)+D18</f>
        <v>2173.75</v>
      </c>
      <c r="M18" s="3" t="n">
        <f aca="false">K18-L18-E18</f>
        <v>351.25</v>
      </c>
      <c r="N18" s="3" t="n">
        <f aca="false">M18/K18</f>
        <v>0.105639097744361</v>
      </c>
      <c r="O18" s="3" t="n">
        <f aca="false">0.015*K18</f>
        <v>49.875</v>
      </c>
      <c r="P18" s="3" t="n">
        <f aca="false">M18-F18-O18</f>
        <v>-98.625</v>
      </c>
      <c r="Q18" s="3" t="n">
        <f aca="false">P18/K18</f>
        <v>-0.0296616541353383</v>
      </c>
      <c r="R18" s="0" t="str">
        <f aca="false">IF(P18&gt;=Assumptions!$B$25,"YES","NO")</f>
        <v>NO</v>
      </c>
      <c r="S18" s="3" t="n">
        <f aca="false">IF(AND(R18="YES",OR(A18&lt;&gt;A17,R17&lt;&gt;"YES")),1,0)</f>
        <v>0</v>
      </c>
      <c r="T18" s="2" t="n">
        <v>0.1</v>
      </c>
      <c r="U18" s="3" t="n">
        <f aca="false">(M18+E18)/K18</f>
        <v>0.346240601503759</v>
      </c>
    </row>
    <row r="19" customFormat="false" ht="15" hidden="false" customHeight="false" outlineLevel="0" collapsed="false">
      <c r="A19" s="0" t="s">
        <v>207</v>
      </c>
      <c r="B19" s="2" t="n">
        <v>500</v>
      </c>
      <c r="C19" s="2" t="n">
        <v>5</v>
      </c>
      <c r="D19" s="2" t="n">
        <v>500</v>
      </c>
      <c r="E19" s="2" t="n">
        <v>800</v>
      </c>
      <c r="F19" s="2" t="n">
        <v>400</v>
      </c>
      <c r="G19" s="2" t="n">
        <v>0.03</v>
      </c>
      <c r="H19" s="2" t="n">
        <v>8.5</v>
      </c>
      <c r="I19" s="2" t="n">
        <v>0</v>
      </c>
      <c r="J19" s="3" t="n">
        <f aca="false">1.15*D19</f>
        <v>575</v>
      </c>
      <c r="K19" s="3" t="n">
        <f aca="false">B19*H19+I19+J19</f>
        <v>4825</v>
      </c>
      <c r="L19" s="3" t="n">
        <f aca="false">B19*C19*(1+G19)+D19</f>
        <v>3075</v>
      </c>
      <c r="M19" s="3" t="n">
        <f aca="false">K19-L19-E19</f>
        <v>950</v>
      </c>
      <c r="N19" s="3" t="n">
        <f aca="false">M19/K19</f>
        <v>0.196891191709845</v>
      </c>
      <c r="O19" s="3" t="n">
        <f aca="false">0.015*K19</f>
        <v>72.375</v>
      </c>
      <c r="P19" s="3" t="n">
        <f aca="false">M19-F19-O19</f>
        <v>477.625</v>
      </c>
      <c r="Q19" s="3" t="n">
        <f aca="false">P19/K19</f>
        <v>0.0989896373056995</v>
      </c>
      <c r="R19" s="0" t="str">
        <f aca="false">IF(P19&gt;=Assumptions!$B$25,"YES","NO")</f>
        <v>NO</v>
      </c>
      <c r="S19" s="3" t="n">
        <f aca="false">IF(AND(R19="YES",OR(A19&lt;&gt;A18,R18&lt;&gt;"YES")),1,0)</f>
        <v>0</v>
      </c>
      <c r="T19" s="2" t="n">
        <v>0.1</v>
      </c>
      <c r="U19" s="3" t="n">
        <f aca="false">(M19+E19)/K19</f>
        <v>0.362694300518135</v>
      </c>
    </row>
    <row r="20" customFormat="false" ht="15" hidden="false" customHeight="false" outlineLevel="0" collapsed="false">
      <c r="A20" s="0" t="s">
        <v>207</v>
      </c>
      <c r="B20" s="2" t="n">
        <v>1000</v>
      </c>
      <c r="C20" s="2" t="n">
        <v>3.8</v>
      </c>
      <c r="D20" s="2" t="n">
        <v>500</v>
      </c>
      <c r="E20" s="2" t="n">
        <v>800</v>
      </c>
      <c r="F20" s="2" t="n">
        <v>400</v>
      </c>
      <c r="G20" s="2" t="n">
        <v>0.03</v>
      </c>
      <c r="H20" s="2" t="n">
        <v>6.5</v>
      </c>
      <c r="I20" s="2" t="n">
        <v>0</v>
      </c>
      <c r="J20" s="3" t="n">
        <f aca="false">1.15*D20</f>
        <v>575</v>
      </c>
      <c r="K20" s="3" t="n">
        <f aca="false">B20*H20+I20+J20</f>
        <v>7075</v>
      </c>
      <c r="L20" s="3" t="n">
        <f aca="false">B20*C20*(1+G20)+D20</f>
        <v>4414</v>
      </c>
      <c r="M20" s="3" t="n">
        <f aca="false">K20-L20-E20</f>
        <v>1861</v>
      </c>
      <c r="N20" s="3" t="n">
        <f aca="false">M20/K20</f>
        <v>0.263038869257951</v>
      </c>
      <c r="O20" s="3" t="n">
        <f aca="false">0.015*K20</f>
        <v>106.125</v>
      </c>
      <c r="P20" s="3" t="n">
        <f aca="false">M20-F20-O20</f>
        <v>1354.875</v>
      </c>
      <c r="Q20" s="3" t="n">
        <f aca="false">P20/K20</f>
        <v>0.191501766784452</v>
      </c>
      <c r="R20" s="0" t="str">
        <f aca="false">IF(P20&gt;=Assumptions!$B$25,"YES","NO")</f>
        <v>NO</v>
      </c>
      <c r="S20" s="3" t="n">
        <f aca="false">IF(AND(R20="YES",OR(A20&lt;&gt;A19,R19&lt;&gt;"YES")),1,0)</f>
        <v>0</v>
      </c>
      <c r="T20" s="2" t="n">
        <v>0.1</v>
      </c>
      <c r="U20" s="3" t="n">
        <f aca="false">(M20+E20)/K20</f>
        <v>0.376113074204947</v>
      </c>
    </row>
    <row r="21" customFormat="false" ht="15" hidden="false" customHeight="false" outlineLevel="0" collapsed="false">
      <c r="A21" s="0" t="s">
        <v>207</v>
      </c>
      <c r="B21" s="2" t="n">
        <v>5000</v>
      </c>
      <c r="C21" s="2" t="n">
        <v>2.4</v>
      </c>
      <c r="D21" s="2" t="n">
        <v>500</v>
      </c>
      <c r="E21" s="2" t="n">
        <v>800</v>
      </c>
      <c r="F21" s="2" t="n">
        <v>400</v>
      </c>
      <c r="G21" s="2" t="n">
        <v>0.03</v>
      </c>
      <c r="H21" s="2" t="n">
        <v>4</v>
      </c>
      <c r="I21" s="2" t="n">
        <v>0</v>
      </c>
      <c r="J21" s="3" t="n">
        <f aca="false">1.15*D21</f>
        <v>575</v>
      </c>
      <c r="K21" s="3" t="n">
        <f aca="false">B21*H21+I21+J21</f>
        <v>20575</v>
      </c>
      <c r="L21" s="3" t="n">
        <f aca="false">B21*C21*(1+G21)+D21</f>
        <v>12860</v>
      </c>
      <c r="M21" s="3" t="n">
        <f aca="false">K21-L21-E21</f>
        <v>6915</v>
      </c>
      <c r="N21" s="3" t="n">
        <f aca="false">M21/K21</f>
        <v>0.336087484811665</v>
      </c>
      <c r="O21" s="3" t="n">
        <f aca="false">0.015*K21</f>
        <v>308.625</v>
      </c>
      <c r="P21" s="3" t="n">
        <f aca="false">M21-F21-O21</f>
        <v>6206.375</v>
      </c>
      <c r="Q21" s="3" t="n">
        <f aca="false">P21/K21</f>
        <v>0.301646415552855</v>
      </c>
      <c r="R21" s="0" t="str">
        <f aca="false">IF(P21&gt;=Assumptions!$B$25,"YES","NO")</f>
        <v>YES</v>
      </c>
      <c r="S21" s="3" t="n">
        <f aca="false">IF(AND(R21="YES",OR(A21&lt;&gt;A20,R20&lt;&gt;"YES")),1,0)</f>
        <v>1</v>
      </c>
      <c r="T21" s="2" t="n">
        <v>0.1</v>
      </c>
      <c r="U21" s="3" t="n">
        <f aca="false">(M21+E21)/K21</f>
        <v>0.374969623329283</v>
      </c>
    </row>
    <row r="22" customFormat="false" ht="15" hidden="false" customHeight="false" outlineLevel="0" collapsed="false">
      <c r="A22" s="0" t="s">
        <v>208</v>
      </c>
      <c r="B22" s="2" t="n">
        <v>50</v>
      </c>
      <c r="C22" s="2" t="n">
        <v>420</v>
      </c>
      <c r="D22" s="2" t="n">
        <v>7000</v>
      </c>
      <c r="E22" s="2" t="n">
        <v>4000</v>
      </c>
      <c r="F22" s="2" t="n">
        <v>800</v>
      </c>
      <c r="G22" s="2" t="n">
        <v>0.03</v>
      </c>
      <c r="H22" s="2" t="n">
        <v>620</v>
      </c>
      <c r="I22" s="2" t="n">
        <v>3000</v>
      </c>
      <c r="J22" s="3" t="n">
        <f aca="false">1.15*D22</f>
        <v>8050</v>
      </c>
      <c r="K22" s="3" t="n">
        <f aca="false">B22*H22+I22+J22</f>
        <v>42050</v>
      </c>
      <c r="L22" s="3" t="n">
        <f aca="false">B22*C22*(1+G22)+D22</f>
        <v>28630</v>
      </c>
      <c r="M22" s="3" t="n">
        <f aca="false">K22-L22-E22</f>
        <v>9420</v>
      </c>
      <c r="N22" s="3" t="n">
        <f aca="false">M22/K22</f>
        <v>0.224019024970273</v>
      </c>
      <c r="O22" s="3" t="n">
        <f aca="false">0.015*K22</f>
        <v>630.75</v>
      </c>
      <c r="P22" s="3" t="n">
        <f aca="false">M22-F22-O22</f>
        <v>7989.25</v>
      </c>
      <c r="Q22" s="3" t="n">
        <f aca="false">P22/K22</f>
        <v>0.18999405469679</v>
      </c>
      <c r="R22" s="0" t="str">
        <f aca="false">IF(P22&gt;=Assumptions!$B$25,"YES","NO")</f>
        <v>YES</v>
      </c>
      <c r="S22" s="3" t="n">
        <f aca="false">IF(AND(R22="YES",OR(A22&lt;&gt;A21,R21&lt;&gt;"YES")),1,0)</f>
        <v>1</v>
      </c>
      <c r="T22" s="2" t="n">
        <v>0.05</v>
      </c>
      <c r="U22" s="3" t="n">
        <f aca="false">(M22+E22)/K22</f>
        <v>0.319143876337693</v>
      </c>
    </row>
    <row r="23" customFormat="false" ht="15" hidden="false" customHeight="false" outlineLevel="0" collapsed="false">
      <c r="A23" s="0" t="s">
        <v>208</v>
      </c>
      <c r="B23" s="2" t="n">
        <v>100</v>
      </c>
      <c r="C23" s="2" t="n">
        <v>350</v>
      </c>
      <c r="D23" s="2" t="n">
        <v>7000</v>
      </c>
      <c r="E23" s="2" t="n">
        <v>4000</v>
      </c>
      <c r="F23" s="2" t="n">
        <v>800</v>
      </c>
      <c r="G23" s="2" t="n">
        <v>0.03</v>
      </c>
      <c r="H23" s="2" t="n">
        <v>520</v>
      </c>
      <c r="I23" s="2" t="n">
        <v>3000</v>
      </c>
      <c r="J23" s="3" t="n">
        <f aca="false">1.15*D23</f>
        <v>8050</v>
      </c>
      <c r="K23" s="3" t="n">
        <f aca="false">B23*H23+I23+J23</f>
        <v>63050</v>
      </c>
      <c r="L23" s="3" t="n">
        <f aca="false">B23*C23*(1+G23)+D23</f>
        <v>43050</v>
      </c>
      <c r="M23" s="3" t="n">
        <f aca="false">K23-L23-E23</f>
        <v>16000</v>
      </c>
      <c r="N23" s="3" t="n">
        <f aca="false">M23/K23</f>
        <v>0.253766851704996</v>
      </c>
      <c r="O23" s="3" t="n">
        <f aca="false">0.015*K23</f>
        <v>945.75</v>
      </c>
      <c r="P23" s="3" t="n">
        <f aca="false">M23-F23-O23</f>
        <v>14254.25</v>
      </c>
      <c r="Q23" s="3" t="n">
        <f aca="false">P23/K23</f>
        <v>0.226078509119746</v>
      </c>
      <c r="R23" s="0" t="str">
        <f aca="false">IF(P23&gt;=Assumptions!$B$25,"YES","NO")</f>
        <v>YES</v>
      </c>
      <c r="S23" s="3" t="n">
        <f aca="false">IF(AND(R23="YES",OR(A23&lt;&gt;A22,R22&lt;&gt;"YES")),1,0)</f>
        <v>0</v>
      </c>
      <c r="T23" s="2" t="n">
        <v>0.05</v>
      </c>
      <c r="U23" s="3" t="n">
        <f aca="false">(M23+E23)/K23</f>
        <v>0.317208564631245</v>
      </c>
    </row>
    <row r="24" customFormat="false" ht="15" hidden="false" customHeight="false" outlineLevel="0" collapsed="false">
      <c r="A24" s="0" t="s">
        <v>208</v>
      </c>
      <c r="B24" s="2" t="n">
        <v>250</v>
      </c>
      <c r="C24" s="2" t="n">
        <v>290</v>
      </c>
      <c r="D24" s="2" t="n">
        <v>7000</v>
      </c>
      <c r="E24" s="2" t="n">
        <v>4000</v>
      </c>
      <c r="F24" s="2" t="n">
        <v>800</v>
      </c>
      <c r="G24" s="2" t="n">
        <v>0.03</v>
      </c>
      <c r="H24" s="2" t="n">
        <v>430</v>
      </c>
      <c r="I24" s="2" t="n">
        <v>3000</v>
      </c>
      <c r="J24" s="3" t="n">
        <f aca="false">1.15*D24</f>
        <v>8050</v>
      </c>
      <c r="K24" s="3" t="n">
        <f aca="false">B24*H24+I24+J24</f>
        <v>118550</v>
      </c>
      <c r="L24" s="3" t="n">
        <f aca="false">B24*C24*(1+G24)+D24</f>
        <v>81675</v>
      </c>
      <c r="M24" s="3" t="n">
        <f aca="false">K24-L24-E24</f>
        <v>32875</v>
      </c>
      <c r="N24" s="3" t="n">
        <f aca="false">M24/K24</f>
        <v>0.277309152256432</v>
      </c>
      <c r="O24" s="3" t="n">
        <f aca="false">0.015*K24</f>
        <v>1778.25</v>
      </c>
      <c r="P24" s="3" t="n">
        <f aca="false">M24-F24-O24</f>
        <v>30296.75</v>
      </c>
      <c r="Q24" s="3" t="n">
        <f aca="false">P24/K24</f>
        <v>0.255560944749051</v>
      </c>
      <c r="R24" s="0" t="str">
        <f aca="false">IF(P24&gt;=Assumptions!$B$25,"YES","NO")</f>
        <v>YES</v>
      </c>
      <c r="S24" s="3" t="n">
        <f aca="false">IF(AND(R24="YES",OR(A24&lt;&gt;A23,R23&lt;&gt;"YES")),1,0)</f>
        <v>0</v>
      </c>
      <c r="T24" s="2" t="n">
        <v>0.05</v>
      </c>
      <c r="U24" s="3" t="n">
        <f aca="false">(M24+E24)/K24</f>
        <v>0.311050189793336</v>
      </c>
    </row>
    <row r="25" customFormat="false" ht="15" hidden="false" customHeight="false" outlineLevel="0" collapsed="false">
      <c r="A25" s="0" t="s">
        <v>208</v>
      </c>
      <c r="B25" s="2" t="n">
        <v>500</v>
      </c>
      <c r="C25" s="2" t="n">
        <v>250</v>
      </c>
      <c r="D25" s="2" t="n">
        <v>7000</v>
      </c>
      <c r="E25" s="2" t="n">
        <v>4000</v>
      </c>
      <c r="F25" s="2" t="n">
        <v>800</v>
      </c>
      <c r="G25" s="2" t="n">
        <v>0.03</v>
      </c>
      <c r="H25" s="2" t="n">
        <v>370</v>
      </c>
      <c r="I25" s="2" t="n">
        <v>3000</v>
      </c>
      <c r="J25" s="3" t="n">
        <f aca="false">1.15*D25</f>
        <v>8050</v>
      </c>
      <c r="K25" s="3" t="n">
        <f aca="false">B25*H25+I25+J25</f>
        <v>196050</v>
      </c>
      <c r="L25" s="3" t="n">
        <f aca="false">B25*C25*(1+G25)+D25</f>
        <v>135750</v>
      </c>
      <c r="M25" s="3" t="n">
        <f aca="false">K25-L25-E25</f>
        <v>56300</v>
      </c>
      <c r="N25" s="3" t="n">
        <f aca="false">M25/K25</f>
        <v>0.287171639887784</v>
      </c>
      <c r="O25" s="3" t="n">
        <f aca="false">0.015*K25</f>
        <v>2940.75</v>
      </c>
      <c r="P25" s="3" t="n">
        <f aca="false">M25-F25-O25</f>
        <v>52559.25</v>
      </c>
      <c r="Q25" s="3" t="n">
        <f aca="false">P25/K25</f>
        <v>0.268091048201989</v>
      </c>
      <c r="R25" s="0" t="str">
        <f aca="false">IF(P25&gt;=Assumptions!$B$25,"YES","NO")</f>
        <v>YES</v>
      </c>
      <c r="S25" s="3" t="n">
        <f aca="false">IF(AND(R25="YES",OR(A25&lt;&gt;A24,R24&lt;&gt;"YES")),1,0)</f>
        <v>0</v>
      </c>
      <c r="T25" s="2" t="n">
        <v>0.05</v>
      </c>
      <c r="U25" s="3" t="n">
        <f aca="false">(M25+E25)/K25</f>
        <v>0.307574598316756</v>
      </c>
    </row>
    <row r="26" customFormat="false" ht="15" hidden="false" customHeight="false" outlineLevel="0" collapsed="false">
      <c r="A26" s="0" t="s">
        <v>208</v>
      </c>
      <c r="B26" s="2" t="n">
        <v>1000</v>
      </c>
      <c r="C26" s="2" t="n">
        <v>215</v>
      </c>
      <c r="D26" s="2" t="n">
        <v>7000</v>
      </c>
      <c r="E26" s="2" t="n">
        <v>4000</v>
      </c>
      <c r="F26" s="2" t="n">
        <v>800</v>
      </c>
      <c r="G26" s="2" t="n">
        <v>0.03</v>
      </c>
      <c r="H26" s="2" t="n">
        <v>320</v>
      </c>
      <c r="I26" s="2" t="n">
        <v>3000</v>
      </c>
      <c r="J26" s="3" t="n">
        <f aca="false">1.15*D26</f>
        <v>8050</v>
      </c>
      <c r="K26" s="3" t="n">
        <f aca="false">B26*H26+I26+J26</f>
        <v>331050</v>
      </c>
      <c r="L26" s="3" t="n">
        <f aca="false">B26*C26*(1+G26)+D26</f>
        <v>228450</v>
      </c>
      <c r="M26" s="3" t="n">
        <f aca="false">K26-L26-E26</f>
        <v>98600</v>
      </c>
      <c r="N26" s="3" t="n">
        <f aca="false">M26/K26</f>
        <v>0.297840205407038</v>
      </c>
      <c r="O26" s="3" t="n">
        <f aca="false">0.015*K26</f>
        <v>4965.75</v>
      </c>
      <c r="P26" s="3" t="n">
        <f aca="false">M26-F26-O26</f>
        <v>92834.25</v>
      </c>
      <c r="Q26" s="3" t="n">
        <f aca="false">P26/K26</f>
        <v>0.280423652016312</v>
      </c>
      <c r="R26" s="0" t="str">
        <f aca="false">IF(P26&gt;=Assumptions!$B$25,"YES","NO")</f>
        <v>YES</v>
      </c>
      <c r="S26" s="3" t="n">
        <f aca="false">IF(AND(R26="YES",OR(A26&lt;&gt;A25,R25&lt;&gt;"YES")),1,0)</f>
        <v>0</v>
      </c>
      <c r="T26" s="2" t="n">
        <v>0.05</v>
      </c>
      <c r="U26" s="3" t="n">
        <f aca="false">(M26+E26)/K26</f>
        <v>0.309922972360671</v>
      </c>
    </row>
    <row r="27" customFormat="false" ht="15" hidden="false" customHeight="false" outlineLevel="0" collapsed="false">
      <c r="A27" s="0" t="s">
        <v>209</v>
      </c>
      <c r="B27" s="2" t="n">
        <v>100</v>
      </c>
      <c r="C27" s="2" t="n">
        <v>38</v>
      </c>
      <c r="D27" s="2" t="n">
        <v>5000</v>
      </c>
      <c r="E27" s="2" t="n">
        <v>1500</v>
      </c>
      <c r="F27" s="2" t="n">
        <v>600</v>
      </c>
      <c r="G27" s="2" t="n">
        <v>0.03</v>
      </c>
      <c r="H27" s="2" t="n">
        <v>58</v>
      </c>
      <c r="I27" s="2" t="n">
        <v>1000</v>
      </c>
      <c r="J27" s="3" t="n">
        <f aca="false">1.15*D27</f>
        <v>5750</v>
      </c>
      <c r="K27" s="3" t="n">
        <f aca="false">B27*H27+I27+J27</f>
        <v>12550</v>
      </c>
      <c r="L27" s="3" t="n">
        <f aca="false">B27*C27*(1+G27)+D27</f>
        <v>8914</v>
      </c>
      <c r="M27" s="3" t="n">
        <f aca="false">K27-L27-E27</f>
        <v>2136</v>
      </c>
      <c r="N27" s="3" t="n">
        <f aca="false">M27/K27</f>
        <v>0.170199203187251</v>
      </c>
      <c r="O27" s="3" t="n">
        <f aca="false">0.015*K27</f>
        <v>188.25</v>
      </c>
      <c r="P27" s="3" t="n">
        <f aca="false">M27-F27-O27</f>
        <v>1347.75</v>
      </c>
      <c r="Q27" s="3" t="n">
        <f aca="false">P27/K27</f>
        <v>0.107390438247012</v>
      </c>
      <c r="R27" s="0" t="str">
        <f aca="false">IF(P27&gt;=Assumptions!$B$25,"YES","NO")</f>
        <v>NO</v>
      </c>
      <c r="S27" s="3" t="n">
        <f aca="false">IF(AND(R27="YES",OR(A27&lt;&gt;A26,R26&lt;&gt;"YES")),1,0)</f>
        <v>0</v>
      </c>
      <c r="T27" s="2" t="n">
        <v>0.2</v>
      </c>
      <c r="U27" s="3" t="n">
        <f aca="false">(M27+E27)/K27</f>
        <v>0.289721115537849</v>
      </c>
    </row>
    <row r="28" customFormat="false" ht="15" hidden="false" customHeight="false" outlineLevel="0" collapsed="false">
      <c r="A28" s="0" t="s">
        <v>209</v>
      </c>
      <c r="B28" s="2" t="n">
        <v>250</v>
      </c>
      <c r="C28" s="2" t="n">
        <v>30</v>
      </c>
      <c r="D28" s="2" t="n">
        <v>5000</v>
      </c>
      <c r="E28" s="2" t="n">
        <v>1500</v>
      </c>
      <c r="F28" s="2" t="n">
        <v>600</v>
      </c>
      <c r="G28" s="2" t="n">
        <v>0.03</v>
      </c>
      <c r="H28" s="2" t="n">
        <v>45</v>
      </c>
      <c r="I28" s="2" t="n">
        <v>1000</v>
      </c>
      <c r="J28" s="3" t="n">
        <f aca="false">1.15*D28</f>
        <v>5750</v>
      </c>
      <c r="K28" s="3" t="n">
        <f aca="false">B28*H28+I28+J28</f>
        <v>18000</v>
      </c>
      <c r="L28" s="3" t="n">
        <f aca="false">B28*C28*(1+G28)+D28</f>
        <v>12725</v>
      </c>
      <c r="M28" s="3" t="n">
        <f aca="false">K28-L28-E28</f>
        <v>3775</v>
      </c>
      <c r="N28" s="3" t="n">
        <f aca="false">M28/K28</f>
        <v>0.209722222222222</v>
      </c>
      <c r="O28" s="3" t="n">
        <f aca="false">0.015*K28</f>
        <v>270</v>
      </c>
      <c r="P28" s="3" t="n">
        <f aca="false">M28-F28-O28</f>
        <v>2905</v>
      </c>
      <c r="Q28" s="3" t="n">
        <f aca="false">P28/K28</f>
        <v>0.161388888888889</v>
      </c>
      <c r="R28" s="0" t="str">
        <f aca="false">IF(P28&gt;=Assumptions!$B$25,"YES","NO")</f>
        <v>NO</v>
      </c>
      <c r="S28" s="3" t="n">
        <f aca="false">IF(AND(R28="YES",OR(A28&lt;&gt;A27,R27&lt;&gt;"YES")),1,0)</f>
        <v>0</v>
      </c>
      <c r="T28" s="2" t="n">
        <v>0.2</v>
      </c>
      <c r="U28" s="3" t="n">
        <f aca="false">(M28+E28)/K28</f>
        <v>0.293055555555556</v>
      </c>
    </row>
    <row r="29" customFormat="false" ht="15" hidden="false" customHeight="false" outlineLevel="0" collapsed="false">
      <c r="A29" s="0" t="s">
        <v>209</v>
      </c>
      <c r="B29" s="2" t="n">
        <v>500</v>
      </c>
      <c r="C29" s="2" t="n">
        <v>24</v>
      </c>
      <c r="D29" s="2" t="n">
        <v>5000</v>
      </c>
      <c r="E29" s="2" t="n">
        <v>1500</v>
      </c>
      <c r="F29" s="2" t="n">
        <v>600</v>
      </c>
      <c r="G29" s="2" t="n">
        <v>0.03</v>
      </c>
      <c r="H29" s="2" t="n">
        <v>36</v>
      </c>
      <c r="I29" s="2" t="n">
        <v>1000</v>
      </c>
      <c r="J29" s="3" t="n">
        <f aca="false">1.15*D29</f>
        <v>5750</v>
      </c>
      <c r="K29" s="3" t="n">
        <f aca="false">B29*H29+I29+J29</f>
        <v>24750</v>
      </c>
      <c r="L29" s="3" t="n">
        <f aca="false">B29*C29*(1+G29)+D29</f>
        <v>17360</v>
      </c>
      <c r="M29" s="3" t="n">
        <f aca="false">K29-L29-E29</f>
        <v>5890</v>
      </c>
      <c r="N29" s="3" t="n">
        <f aca="false">M29/K29</f>
        <v>0.237979797979798</v>
      </c>
      <c r="O29" s="3" t="n">
        <f aca="false">0.015*K29</f>
        <v>371.25</v>
      </c>
      <c r="P29" s="3" t="n">
        <f aca="false">M29-F29-O29</f>
        <v>4918.75</v>
      </c>
      <c r="Q29" s="3" t="n">
        <f aca="false">P29/K29</f>
        <v>0.198737373737374</v>
      </c>
      <c r="R29" s="0" t="str">
        <f aca="false">IF(P29&gt;=Assumptions!$B$25,"YES","NO")</f>
        <v>YES</v>
      </c>
      <c r="S29" s="3" t="n">
        <f aca="false">IF(AND(R29="YES",OR(A29&lt;&gt;A28,R28&lt;&gt;"YES")),1,0)</f>
        <v>1</v>
      </c>
      <c r="T29" s="2" t="n">
        <v>0.2</v>
      </c>
      <c r="U29" s="3" t="n">
        <f aca="false">(M29+E29)/K29</f>
        <v>0.298585858585859</v>
      </c>
    </row>
    <row r="30" customFormat="false" ht="15" hidden="false" customHeight="false" outlineLevel="0" collapsed="false">
      <c r="A30" s="0" t="s">
        <v>209</v>
      </c>
      <c r="B30" s="2" t="n">
        <v>1000</v>
      </c>
      <c r="C30" s="2" t="n">
        <v>19</v>
      </c>
      <c r="D30" s="2" t="n">
        <v>5000</v>
      </c>
      <c r="E30" s="2" t="n">
        <v>1500</v>
      </c>
      <c r="F30" s="2" t="n">
        <v>600</v>
      </c>
      <c r="G30" s="2" t="n">
        <v>0.03</v>
      </c>
      <c r="H30" s="2" t="n">
        <v>28</v>
      </c>
      <c r="I30" s="2" t="n">
        <v>1000</v>
      </c>
      <c r="J30" s="3" t="n">
        <f aca="false">1.15*D30</f>
        <v>5750</v>
      </c>
      <c r="K30" s="3" t="n">
        <f aca="false">B30*H30+I30+J30</f>
        <v>34750</v>
      </c>
      <c r="L30" s="3" t="n">
        <f aca="false">B30*C30*(1+G30)+D30</f>
        <v>24570</v>
      </c>
      <c r="M30" s="3" t="n">
        <f aca="false">K30-L30-E30</f>
        <v>8680</v>
      </c>
      <c r="N30" s="3" t="n">
        <f aca="false">M30/K30</f>
        <v>0.249784172661871</v>
      </c>
      <c r="O30" s="3" t="n">
        <f aca="false">0.015*K30</f>
        <v>521.25</v>
      </c>
      <c r="P30" s="3" t="n">
        <f aca="false">M30-F30-O30</f>
        <v>7558.75</v>
      </c>
      <c r="Q30" s="3" t="n">
        <f aca="false">P30/K30</f>
        <v>0.217517985611511</v>
      </c>
      <c r="R30" s="0" t="str">
        <f aca="false">IF(P30&gt;=Assumptions!$B$25,"YES","NO")</f>
        <v>YES</v>
      </c>
      <c r="S30" s="3" t="n">
        <f aca="false">IF(AND(R30="YES",OR(A30&lt;&gt;A29,R29&lt;&gt;"YES")),1,0)</f>
        <v>0</v>
      </c>
      <c r="T30" s="2" t="n">
        <v>0.2</v>
      </c>
      <c r="U30" s="3" t="n">
        <f aca="false">(M30+E30)/K30</f>
        <v>0.29294964028777</v>
      </c>
    </row>
    <row r="31" customFormat="false" ht="15" hidden="false" customHeight="false" outlineLevel="0" collapsed="false">
      <c r="A31" s="0" t="s">
        <v>209</v>
      </c>
      <c r="B31" s="2" t="n">
        <v>5000</v>
      </c>
      <c r="C31" s="2" t="n">
        <v>15</v>
      </c>
      <c r="D31" s="2" t="n">
        <v>5000</v>
      </c>
      <c r="E31" s="2" t="n">
        <v>1500</v>
      </c>
      <c r="F31" s="2" t="n">
        <v>600</v>
      </c>
      <c r="G31" s="2" t="n">
        <v>0.03</v>
      </c>
      <c r="H31" s="2" t="n">
        <v>21</v>
      </c>
      <c r="I31" s="2" t="n">
        <v>1000</v>
      </c>
      <c r="J31" s="3" t="n">
        <f aca="false">1.15*D31</f>
        <v>5750</v>
      </c>
      <c r="K31" s="3" t="n">
        <f aca="false">B31*H31+I31+J31</f>
        <v>111750</v>
      </c>
      <c r="L31" s="3" t="n">
        <f aca="false">B31*C31*(1+G31)+D31</f>
        <v>82250</v>
      </c>
      <c r="M31" s="3" t="n">
        <f aca="false">K31-L31-E31</f>
        <v>28000</v>
      </c>
      <c r="N31" s="3" t="n">
        <f aca="false">M31/K31</f>
        <v>0.250559284116331</v>
      </c>
      <c r="O31" s="3" t="n">
        <f aca="false">0.015*K31</f>
        <v>1676.25</v>
      </c>
      <c r="P31" s="3" t="n">
        <f aca="false">M31-F31-O31</f>
        <v>25723.75</v>
      </c>
      <c r="Q31" s="3" t="n">
        <f aca="false">P31/K31</f>
        <v>0.230190156599553</v>
      </c>
      <c r="R31" s="0" t="str">
        <f aca="false">IF(P31&gt;=Assumptions!$B$25,"YES","NO")</f>
        <v>YES</v>
      </c>
      <c r="S31" s="3" t="n">
        <f aca="false">IF(AND(R31="YES",OR(A31&lt;&gt;A30,R30&lt;&gt;"YES")),1,0)</f>
        <v>0</v>
      </c>
      <c r="T31" s="2" t="n">
        <v>0.2</v>
      </c>
      <c r="U31" s="3" t="n">
        <f aca="false">(M31+E31)/K31</f>
        <v>0.263982102908277</v>
      </c>
    </row>
    <row r="33" customFormat="false" ht="15" hidden="false" customHeight="false" outlineLevel="0" collapsed="false">
      <c r="A33" s="6" t="s">
        <v>210</v>
      </c>
    </row>
    <row r="34" customFormat="false" ht="15" hidden="false" customHeight="false" outlineLevel="0" collapsed="false">
      <c r="A34" s="0" t="s">
        <v>211</v>
      </c>
    </row>
    <row r="35" customFormat="false" ht="15" hidden="false" customHeight="false" outlineLevel="0" collapsed="false">
      <c r="A35" s="0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4"/>
    <col collapsed="false" customWidth="true" hidden="false" outlineLevel="0" max="17" min="17" style="0" width="16"/>
    <col collapsed="false" customWidth="true" hidden="false" outlineLevel="0" max="18" min="18" style="0" width="8"/>
  </cols>
  <sheetData>
    <row r="1" customFormat="false" ht="15" hidden="false" customHeight="false" outlineLevel="0" collapsed="false">
      <c r="A1" s="5" t="s">
        <v>213</v>
      </c>
      <c r="P1" s="3" t="s">
        <v>214</v>
      </c>
      <c r="Q1" s="3" t="n">
        <f aca="false">MAX(1,ROUNDUP((Assumptions!$B$10+Scenario_Inputs!$F$3)/30,0))</f>
        <v>2</v>
      </c>
    </row>
    <row r="2" customFormat="false" ht="15" hidden="false" customHeight="false" outlineLevel="0" collapsed="false">
      <c r="A2" s="0" t="s">
        <v>66</v>
      </c>
      <c r="C2" s="0" t="n">
        <v>1</v>
      </c>
      <c r="D2" s="0" t="n">
        <v>2</v>
      </c>
      <c r="E2" s="0" t="n">
        <v>3</v>
      </c>
      <c r="F2" s="0" t="n">
        <v>4</v>
      </c>
      <c r="G2" s="0" t="n">
        <v>5</v>
      </c>
      <c r="H2" s="0" t="n">
        <v>6</v>
      </c>
      <c r="I2" s="0" t="n">
        <v>7</v>
      </c>
      <c r="J2" s="0" t="n">
        <v>8</v>
      </c>
      <c r="K2" s="0" t="n">
        <v>9</v>
      </c>
      <c r="L2" s="0" t="n">
        <v>10</v>
      </c>
      <c r="M2" s="0" t="n">
        <v>11</v>
      </c>
      <c r="N2" s="0" t="n">
        <v>12</v>
      </c>
      <c r="O2" s="5" t="s">
        <v>215</v>
      </c>
    </row>
    <row r="3" customFormat="false" ht="15" hidden="false" customHeight="false" outlineLevel="0" collapsed="false">
      <c r="A3" s="0" t="s">
        <v>216</v>
      </c>
      <c r="C3" s="0" t="n">
        <f aca="false">Assumptions!B$33*Scenario_Inputs!$D$3</f>
        <v>0</v>
      </c>
      <c r="D3" s="0" t="n">
        <f aca="false">Assumptions!C$33*Scenario_Inputs!$D$3</f>
        <v>0.5</v>
      </c>
      <c r="E3" s="0" t="n">
        <f aca="false">Assumptions!D$33*Scenario_Inputs!$D$3</f>
        <v>1</v>
      </c>
      <c r="F3" s="0" t="n">
        <f aca="false">Assumptions!E$33*Scenario_Inputs!$D$3</f>
        <v>1.5</v>
      </c>
      <c r="G3" s="0" t="n">
        <f aca="false">Assumptions!F$33*Scenario_Inputs!$D$3</f>
        <v>1.5</v>
      </c>
      <c r="H3" s="0" t="n">
        <f aca="false">Assumptions!G$33*Scenario_Inputs!$D$3</f>
        <v>2</v>
      </c>
      <c r="I3" s="0" t="n">
        <f aca="false">Assumptions!H$33*Scenario_Inputs!$D$3</f>
        <v>2</v>
      </c>
      <c r="J3" s="0" t="n">
        <f aca="false">Assumptions!I$33*Scenario_Inputs!$D$3</f>
        <v>2.5</v>
      </c>
      <c r="K3" s="0" t="n">
        <f aca="false">Assumptions!J$33*Scenario_Inputs!$D$3</f>
        <v>2.5</v>
      </c>
      <c r="L3" s="0" t="n">
        <f aca="false">Assumptions!K$33*Scenario_Inputs!$D$3</f>
        <v>2.5</v>
      </c>
      <c r="M3" s="0" t="n">
        <f aca="false">Assumptions!L$33*Scenario_Inputs!$D$3</f>
        <v>3</v>
      </c>
      <c r="N3" s="0" t="n">
        <f aca="false">Assumptions!M$33*Scenario_Inputs!$D$3</f>
        <v>3</v>
      </c>
      <c r="O3" s="0" t="n">
        <f aca="false">SUM(C3:N3)</f>
        <v>22</v>
      </c>
    </row>
    <row r="4" customFormat="false" ht="15" hidden="false" customHeight="false" outlineLevel="0" collapsed="false">
      <c r="A4" s="0" t="s">
        <v>217</v>
      </c>
      <c r="C4" s="0" t="n">
        <v>0</v>
      </c>
      <c r="D4" s="0" t="n">
        <f aca="false">SUM($C3:C3)</f>
        <v>0</v>
      </c>
      <c r="E4" s="0" t="n">
        <f aca="false">SUM($C3:D3)</f>
        <v>0.5</v>
      </c>
      <c r="F4" s="0" t="n">
        <f aca="false">SUM($C3:E3)</f>
        <v>1.5</v>
      </c>
      <c r="G4" s="0" t="n">
        <f aca="false">SUM($C3:F3)</f>
        <v>3</v>
      </c>
      <c r="H4" s="0" t="n">
        <f aca="false">SUM($C3:G3)</f>
        <v>4.5</v>
      </c>
      <c r="I4" s="0" t="n">
        <f aca="false">SUM($C3:H3)</f>
        <v>6.5</v>
      </c>
      <c r="J4" s="0" t="n">
        <f aca="false">SUM($C3:I3)</f>
        <v>8.5</v>
      </c>
      <c r="K4" s="0" t="n">
        <f aca="false">SUM($C3:J3)</f>
        <v>11</v>
      </c>
      <c r="L4" s="0" t="n">
        <f aca="false">SUM($C3:K3)</f>
        <v>13.5</v>
      </c>
      <c r="M4" s="0" t="n">
        <f aca="false">SUM($C3:L3)</f>
        <v>16</v>
      </c>
      <c r="N4" s="0" t="n">
        <f aca="false">SUM($C3:M3)</f>
        <v>19</v>
      </c>
    </row>
    <row r="5" customFormat="false" ht="15" hidden="false" customHeight="false" outlineLevel="0" collapsed="false">
      <c r="A5" s="0" t="s">
        <v>218</v>
      </c>
      <c r="C5" s="0" t="n">
        <f aca="false">C4*Assumptions!$B$11*Scenario_Inputs!$E$3</f>
        <v>0</v>
      </c>
      <c r="D5" s="0" t="n">
        <f aca="false">D4*Assumptions!$B$11*Scenario_Inputs!$E$3</f>
        <v>0</v>
      </c>
      <c r="E5" s="0" t="n">
        <f aca="false">E4*Assumptions!$B$11*Scenario_Inputs!$E$3</f>
        <v>0.054</v>
      </c>
      <c r="F5" s="0" t="n">
        <f aca="false">F4*Assumptions!$B$11*Scenario_Inputs!$E$3</f>
        <v>0.162</v>
      </c>
      <c r="G5" s="0" t="n">
        <f aca="false">G4*Assumptions!$B$11*Scenario_Inputs!$E$3</f>
        <v>0.324</v>
      </c>
      <c r="H5" s="0" t="n">
        <f aca="false">H4*Assumptions!$B$11*Scenario_Inputs!$E$3</f>
        <v>0.486</v>
      </c>
      <c r="I5" s="0" t="n">
        <f aca="false">I4*Assumptions!$B$11*Scenario_Inputs!$E$3</f>
        <v>0.702</v>
      </c>
      <c r="J5" s="0" t="n">
        <f aca="false">J4*Assumptions!$B$11*Scenario_Inputs!$E$3</f>
        <v>0.918</v>
      </c>
      <c r="K5" s="0" t="n">
        <f aca="false">K4*Assumptions!$B$11*Scenario_Inputs!$E$3</f>
        <v>1.188</v>
      </c>
      <c r="L5" s="0" t="n">
        <f aca="false">L4*Assumptions!$B$11*Scenario_Inputs!$E$3</f>
        <v>1.458</v>
      </c>
      <c r="M5" s="0" t="n">
        <f aca="false">M4*Assumptions!$B$11*Scenario_Inputs!$E$3</f>
        <v>1.728</v>
      </c>
      <c r="N5" s="0" t="n">
        <f aca="false">N4*Assumptions!$B$11*Scenario_Inputs!$E$3</f>
        <v>2.052</v>
      </c>
      <c r="O5" s="0" t="n">
        <f aca="false">SUM(C5:N5)</f>
        <v>9.072</v>
      </c>
    </row>
    <row r="6" customFormat="false" ht="15" hidden="false" customHeight="false" outlineLevel="0" collapsed="false">
      <c r="A6" s="0" t="s">
        <v>219</v>
      </c>
      <c r="C6" s="0" t="n">
        <f aca="false">C3+C5</f>
        <v>0</v>
      </c>
      <c r="D6" s="0" t="n">
        <f aca="false">D3+D5</f>
        <v>0.5</v>
      </c>
      <c r="E6" s="0" t="n">
        <f aca="false">E3+E5</f>
        <v>1.054</v>
      </c>
      <c r="F6" s="0" t="n">
        <f aca="false">F3+F5</f>
        <v>1.662</v>
      </c>
      <c r="G6" s="0" t="n">
        <f aca="false">G3+G5</f>
        <v>1.824</v>
      </c>
      <c r="H6" s="0" t="n">
        <f aca="false">H3+H5</f>
        <v>2.486</v>
      </c>
      <c r="I6" s="0" t="n">
        <f aca="false">I3+I5</f>
        <v>2.702</v>
      </c>
      <c r="J6" s="0" t="n">
        <f aca="false">J3+J5</f>
        <v>3.418</v>
      </c>
      <c r="K6" s="0" t="n">
        <f aca="false">K3+K5</f>
        <v>3.688</v>
      </c>
      <c r="L6" s="0" t="n">
        <f aca="false">L3+L5</f>
        <v>3.958</v>
      </c>
      <c r="M6" s="0" t="n">
        <f aca="false">M3+M5</f>
        <v>4.728</v>
      </c>
      <c r="N6" s="0" t="n">
        <f aca="false">N3+N5</f>
        <v>5.052</v>
      </c>
      <c r="O6" s="0" t="n">
        <f aca="false">SUM(C6:N6)</f>
        <v>31.072</v>
      </c>
    </row>
    <row r="7" customFormat="false" ht="15" hidden="false" customHeight="false" outlineLevel="0" collapsed="false">
      <c r="A7" s="0" t="s">
        <v>220</v>
      </c>
      <c r="C7" s="0" t="n">
        <f aca="false">C6*Assumptions!$B$5*Scenario_Inputs!G$4</f>
        <v>0</v>
      </c>
      <c r="D7" s="0" t="n">
        <f aca="false">D6*Assumptions!$B$5*Scenario_Inputs!H$4</f>
        <v>13359.375</v>
      </c>
      <c r="E7" s="0" t="n">
        <f aca="false">E6*Assumptions!$B$5*Scenario_Inputs!I$4</f>
        <v>28161.5625</v>
      </c>
      <c r="F7" s="0" t="n">
        <f aca="false">F6*Assumptions!$B$5*Scenario_Inputs!J$4</f>
        <v>44406.5625</v>
      </c>
      <c r="G7" s="0" t="n">
        <f aca="false">G6*Assumptions!$B$5*Scenario_Inputs!K$4</f>
        <v>48735</v>
      </c>
      <c r="H7" s="0" t="n">
        <f aca="false">H6*Assumptions!$B$5*Scenario_Inputs!L$4</f>
        <v>66422.8125</v>
      </c>
      <c r="I7" s="0" t="n">
        <f aca="false">I6*Assumptions!$B$5*Scenario_Inputs!M$4</f>
        <v>72194.0625</v>
      </c>
      <c r="J7" s="0" t="n">
        <f aca="false">J6*Assumptions!$B$5*Scenario_Inputs!N$4</f>
        <v>91324.6875</v>
      </c>
      <c r="K7" s="0" t="n">
        <f aca="false">K6*Assumptions!$B$5*Scenario_Inputs!O$4</f>
        <v>98538.75</v>
      </c>
      <c r="L7" s="0" t="n">
        <f aca="false">L6*Assumptions!$B$5*Scenario_Inputs!P$4</f>
        <v>105752.8125</v>
      </c>
      <c r="M7" s="0" t="n">
        <f aca="false">M6*Assumptions!$B$5*Scenario_Inputs!Q$4</f>
        <v>126326.25</v>
      </c>
      <c r="N7" s="0" t="n">
        <f aca="false">N6*Assumptions!$B$5*Scenario_Inputs!R$4</f>
        <v>134983.125</v>
      </c>
      <c r="O7" s="0" t="n">
        <f aca="false">SUM(C7:N7)</f>
        <v>830205</v>
      </c>
    </row>
    <row r="8" customFormat="false" ht="15" hidden="false" customHeight="false" outlineLevel="0" collapsed="false">
      <c r="A8" s="0" t="s">
        <v>221</v>
      </c>
      <c r="C8" s="0" t="n">
        <f aca="false">C7*Scenario_Inputs!$B$3</f>
        <v>0</v>
      </c>
      <c r="D8" s="0" t="n">
        <f aca="false">D7*Scenario_Inputs!$B$3</f>
        <v>13359.375</v>
      </c>
      <c r="E8" s="0" t="n">
        <f aca="false">E7*Scenario_Inputs!$B$3</f>
        <v>28161.5625</v>
      </c>
      <c r="F8" s="0" t="n">
        <f aca="false">F7*Scenario_Inputs!$B$3</f>
        <v>44406.5625</v>
      </c>
      <c r="G8" s="0" t="n">
        <f aca="false">G7*Scenario_Inputs!$B$3</f>
        <v>48735</v>
      </c>
      <c r="H8" s="0" t="n">
        <f aca="false">H7*Scenario_Inputs!$B$3</f>
        <v>66422.8125</v>
      </c>
      <c r="I8" s="0" t="n">
        <f aca="false">I7*Scenario_Inputs!$B$3</f>
        <v>72194.0625</v>
      </c>
      <c r="J8" s="0" t="n">
        <f aca="false">J7*Scenario_Inputs!$B$3</f>
        <v>91324.6875</v>
      </c>
      <c r="K8" s="0" t="n">
        <f aca="false">K7*Scenario_Inputs!$B$3</f>
        <v>98538.75</v>
      </c>
      <c r="L8" s="0" t="n">
        <f aca="false">L7*Scenario_Inputs!$B$3</f>
        <v>105752.8125</v>
      </c>
      <c r="M8" s="0" t="n">
        <f aca="false">M7*Scenario_Inputs!$B$3</f>
        <v>126326.25</v>
      </c>
      <c r="N8" s="0" t="n">
        <f aca="false">N7*Scenario_Inputs!$B$3</f>
        <v>134983.125</v>
      </c>
      <c r="O8" s="0" t="n">
        <f aca="false">SUM(C8:N8)</f>
        <v>830205</v>
      </c>
    </row>
    <row r="9" customFormat="false" ht="15" hidden="false" customHeight="false" outlineLevel="0" collapsed="false">
      <c r="A9" s="0" t="s">
        <v>222</v>
      </c>
      <c r="C9" s="0" t="n">
        <f aca="false">C7*(1-Assumptions!$B$6)*Scenario_Inputs!$C$3*(1+(1-Assumptions!$B$26)*Assumptions!$B$21*Assumptions!$B$27)</f>
        <v>0</v>
      </c>
      <c r="D9" s="0" t="n">
        <f aca="false">D7*(1-Assumptions!$B$6)*Scenario_Inputs!$C$3*(1+(1-Assumptions!$B$26)*Assumptions!$B$21*Assumptions!$B$27)</f>
        <v>10833.76525</v>
      </c>
      <c r="E9" s="0" t="n">
        <f aca="false">E7*(1-Assumptions!$B$6)*Scenario_Inputs!$C$3*(1+(1-Assumptions!$B$26)*Assumptions!$B$21*Assumptions!$B$27)</f>
        <v>22837.577147</v>
      </c>
      <c r="F9" s="0" t="n">
        <f aca="false">F7*(1-Assumptions!$B$6)*Scenario_Inputs!$C$3*(1+(1-Assumptions!$B$26)*Assumptions!$B$21*Assumptions!$B$27)</f>
        <v>36011.435691</v>
      </c>
      <c r="G9" s="0" t="n">
        <f aca="false">G7*(1-Assumptions!$B$6)*Scenario_Inputs!$C$3*(1+(1-Assumptions!$B$26)*Assumptions!$B$21*Assumptions!$B$27)</f>
        <v>39521.575632</v>
      </c>
      <c r="H9" s="0" t="n">
        <f aca="false">H7*(1-Assumptions!$B$6)*Scenario_Inputs!$C$3*(1+(1-Assumptions!$B$26)*Assumptions!$B$21*Assumptions!$B$27)</f>
        <v>53865.480823</v>
      </c>
      <c r="I9" s="0" t="n">
        <f aca="false">I7*(1-Assumptions!$B$6)*Scenario_Inputs!$C$3*(1+(1-Assumptions!$B$26)*Assumptions!$B$21*Assumptions!$B$27)</f>
        <v>58545.667411</v>
      </c>
      <c r="J9" s="0" t="n">
        <f aca="false">J7*(1-Assumptions!$B$6)*Scenario_Inputs!$C$3*(1+(1-Assumptions!$B$26)*Assumptions!$B$21*Assumptions!$B$27)</f>
        <v>74059.619249</v>
      </c>
      <c r="K9" s="0" t="n">
        <f aca="false">K7*(1-Assumptions!$B$6)*Scenario_Inputs!$C$3*(1+(1-Assumptions!$B$26)*Assumptions!$B$21*Assumptions!$B$27)</f>
        <v>79909.852484</v>
      </c>
      <c r="L9" s="0" t="n">
        <f aca="false">L7*(1-Assumptions!$B$6)*Scenario_Inputs!$C$3*(1+(1-Assumptions!$B$26)*Assumptions!$B$21*Assumptions!$B$27)</f>
        <v>85760.085719</v>
      </c>
      <c r="M9" s="0" t="n">
        <f aca="false">M7*(1-Assumptions!$B$6)*Scenario_Inputs!$C$3*(1+(1-Assumptions!$B$26)*Assumptions!$B$21*Assumptions!$B$27)</f>
        <v>102444.084204</v>
      </c>
      <c r="N9" s="0" t="n">
        <f aca="false">N7*(1-Assumptions!$B$6)*Scenario_Inputs!$C$3*(1+(1-Assumptions!$B$26)*Assumptions!$B$21*Assumptions!$B$27)</f>
        <v>109464.364086</v>
      </c>
      <c r="O9" s="0" t="n">
        <f aca="false">SUM(C9:N9)</f>
        <v>673253.507696</v>
      </c>
    </row>
    <row r="10" customFormat="false" ht="15" hidden="false" customHeight="false" outlineLevel="0" collapsed="false">
      <c r="A10" s="0" t="s">
        <v>223</v>
      </c>
      <c r="C10" s="0" t="n">
        <f aca="false">C8*(Assumptions!$B$7+Assumptions!$B$8)</f>
        <v>0</v>
      </c>
      <c r="D10" s="0" t="n">
        <f aca="false">D8*(Assumptions!$B$7+Assumptions!$B$8)</f>
        <v>801.5625</v>
      </c>
      <c r="E10" s="0" t="n">
        <f aca="false">E8*(Assumptions!$B$7+Assumptions!$B$8)</f>
        <v>1689.69375</v>
      </c>
      <c r="F10" s="0" t="n">
        <f aca="false">F8*(Assumptions!$B$7+Assumptions!$B$8)</f>
        <v>2664.39375</v>
      </c>
      <c r="G10" s="0" t="n">
        <f aca="false">G8*(Assumptions!$B$7+Assumptions!$B$8)</f>
        <v>2924.1</v>
      </c>
      <c r="H10" s="0" t="n">
        <f aca="false">H8*(Assumptions!$B$7+Assumptions!$B$8)</f>
        <v>3985.36875</v>
      </c>
      <c r="I10" s="0" t="n">
        <f aca="false">I8*(Assumptions!$B$7+Assumptions!$B$8)</f>
        <v>4331.64375</v>
      </c>
      <c r="J10" s="0" t="n">
        <f aca="false">J8*(Assumptions!$B$7+Assumptions!$B$8)</f>
        <v>5479.48125</v>
      </c>
      <c r="K10" s="0" t="n">
        <f aca="false">K8*(Assumptions!$B$7+Assumptions!$B$8)</f>
        <v>5912.325</v>
      </c>
      <c r="L10" s="0" t="n">
        <f aca="false">L8*(Assumptions!$B$7+Assumptions!$B$8)</f>
        <v>6345.16875</v>
      </c>
      <c r="M10" s="0" t="n">
        <f aca="false">M8*(Assumptions!$B$7+Assumptions!$B$8)</f>
        <v>7579.575</v>
      </c>
      <c r="N10" s="0" t="n">
        <f aca="false">N8*(Assumptions!$B$7+Assumptions!$B$8)</f>
        <v>8098.9875</v>
      </c>
      <c r="O10" s="0" t="n">
        <f aca="false">SUM(C10:N10)</f>
        <v>49812.3</v>
      </c>
    </row>
    <row r="11" customFormat="false" ht="15" hidden="false" customHeight="false" outlineLevel="0" collapsed="false">
      <c r="A11" s="0" t="s">
        <v>198</v>
      </c>
      <c r="C11" s="0" t="n">
        <f aca="false">C8-C9-C10</f>
        <v>0</v>
      </c>
      <c r="D11" s="0" t="n">
        <f aca="false">D8-D9-D10</f>
        <v>1724.04725</v>
      </c>
      <c r="E11" s="0" t="n">
        <f aca="false">E8-E9-E10</f>
        <v>3634.291603</v>
      </c>
      <c r="F11" s="0" t="n">
        <f aca="false">F8-F9-F10</f>
        <v>5730.733059</v>
      </c>
      <c r="G11" s="0" t="n">
        <f aca="false">G8-G9-G10</f>
        <v>6289.32436799999</v>
      </c>
      <c r="H11" s="0" t="n">
        <f aca="false">H8-H9-H10</f>
        <v>8571.96292699998</v>
      </c>
      <c r="I11" s="0" t="n">
        <f aca="false">I8-I9-I10</f>
        <v>9316.751339</v>
      </c>
      <c r="J11" s="0" t="n">
        <f aca="false">J8-J9-J10</f>
        <v>11785.587001</v>
      </c>
      <c r="K11" s="0" t="n">
        <f aca="false">K8-K9-K10</f>
        <v>12716.572516</v>
      </c>
      <c r="L11" s="0" t="n">
        <f aca="false">L8-L9-L10</f>
        <v>13647.558031</v>
      </c>
      <c r="M11" s="0" t="n">
        <f aca="false">M8-M9-M10</f>
        <v>16302.590796</v>
      </c>
      <c r="N11" s="0" t="n">
        <f aca="false">N8-N9-N10</f>
        <v>17419.773414</v>
      </c>
      <c r="O11" s="0" t="n">
        <f aca="false">SUM(C11:N11)</f>
        <v>107139.192304</v>
      </c>
    </row>
    <row r="12" customFormat="false" ht="15" hidden="false" customHeight="false" outlineLevel="0" collapsed="false">
      <c r="A12" s="0" t="s">
        <v>224</v>
      </c>
      <c r="C12" s="0" t="n">
        <f aca="false">Assumptions!$B$29</f>
        <v>32500</v>
      </c>
      <c r="D12" s="0" t="n">
        <f aca="false">Assumptions!$B$29</f>
        <v>32500</v>
      </c>
      <c r="E12" s="0" t="n">
        <f aca="false">Assumptions!$B$29</f>
        <v>32500</v>
      </c>
      <c r="F12" s="0" t="n">
        <f aca="false">Assumptions!$B$29</f>
        <v>32500</v>
      </c>
      <c r="G12" s="0" t="n">
        <f aca="false">Assumptions!$B$29</f>
        <v>32500</v>
      </c>
      <c r="H12" s="0" t="n">
        <f aca="false">Assumptions!$B$29</f>
        <v>32500</v>
      </c>
      <c r="I12" s="0" t="n">
        <f aca="false">Assumptions!$B$29</f>
        <v>32500</v>
      </c>
      <c r="J12" s="0" t="n">
        <f aca="false">Assumptions!$B$29</f>
        <v>32500</v>
      </c>
      <c r="K12" s="0" t="n">
        <f aca="false">Assumptions!$B$29</f>
        <v>32500</v>
      </c>
      <c r="L12" s="0" t="n">
        <f aca="false">Assumptions!$B$29</f>
        <v>32500</v>
      </c>
      <c r="M12" s="0" t="n">
        <f aca="false">Assumptions!$B$29</f>
        <v>32500</v>
      </c>
      <c r="N12" s="0" t="n">
        <f aca="false">Assumptions!$B$29</f>
        <v>32500</v>
      </c>
      <c r="O12" s="0" t="n">
        <f aca="false">SUM(C12:N12)</f>
        <v>390000</v>
      </c>
    </row>
    <row r="13" customFormat="false" ht="15" hidden="false" customHeight="false" outlineLevel="0" collapsed="false">
      <c r="A13" s="0" t="s">
        <v>225</v>
      </c>
      <c r="C13" s="0" t="n">
        <f aca="false">Scenario_Inputs!G$5</f>
        <v>0</v>
      </c>
      <c r="D13" s="0" t="n">
        <f aca="false">Scenario_Inputs!H$5</f>
        <v>0</v>
      </c>
      <c r="E13" s="0" t="n">
        <f aca="false">Scenario_Inputs!I$5</f>
        <v>0</v>
      </c>
      <c r="F13" s="0" t="n">
        <f aca="false">Scenario_Inputs!J$5</f>
        <v>0</v>
      </c>
      <c r="G13" s="0" t="n">
        <f aca="false">Scenario_Inputs!K$5</f>
        <v>0</v>
      </c>
      <c r="H13" s="0" t="n">
        <f aca="false">Scenario_Inputs!L$5</f>
        <v>0</v>
      </c>
      <c r="I13" s="0" t="n">
        <f aca="false">Scenario_Inputs!M$5</f>
        <v>0</v>
      </c>
      <c r="J13" s="0" t="n">
        <f aca="false">Scenario_Inputs!N$5</f>
        <v>0</v>
      </c>
      <c r="K13" s="0" t="n">
        <f aca="false">Scenario_Inputs!O$5</f>
        <v>0</v>
      </c>
      <c r="L13" s="0" t="n">
        <f aca="false">Scenario_Inputs!P$5</f>
        <v>0</v>
      </c>
      <c r="M13" s="0" t="n">
        <f aca="false">Scenario_Inputs!Q$5</f>
        <v>0</v>
      </c>
      <c r="N13" s="0" t="n">
        <f aca="false">Scenario_Inputs!R$5</f>
        <v>0</v>
      </c>
      <c r="O13" s="0" t="n">
        <f aca="false">SUM(C13:N13)</f>
        <v>0</v>
      </c>
    </row>
    <row r="14" customFormat="false" ht="15" hidden="false" customHeight="false" outlineLevel="0" collapsed="false">
      <c r="A14" s="0" t="s">
        <v>226</v>
      </c>
      <c r="C14" s="0" t="n">
        <f aca="false">C11-C12-C13</f>
        <v>-32500</v>
      </c>
      <c r="D14" s="0" t="n">
        <f aca="false">D11-D12-D13</f>
        <v>-30775.95275</v>
      </c>
      <c r="E14" s="0" t="n">
        <f aca="false">E11-E12-E13</f>
        <v>-28865.708397</v>
      </c>
      <c r="F14" s="0" t="n">
        <f aca="false">F11-F12-F13</f>
        <v>-26769.266941</v>
      </c>
      <c r="G14" s="0" t="n">
        <f aca="false">G11-G12-G13</f>
        <v>-26210.675632</v>
      </c>
      <c r="H14" s="0" t="n">
        <f aca="false">H11-H12-H13</f>
        <v>-23928.037073</v>
      </c>
      <c r="I14" s="0" t="n">
        <f aca="false">I11-I12-I13</f>
        <v>-23183.248661</v>
      </c>
      <c r="J14" s="0" t="n">
        <f aca="false">J11-J12-J13</f>
        <v>-20714.412999</v>
      </c>
      <c r="K14" s="0" t="n">
        <f aca="false">K11-K12-K13</f>
        <v>-19783.427484</v>
      </c>
      <c r="L14" s="0" t="n">
        <f aca="false">L11-L12-L13</f>
        <v>-18852.441969</v>
      </c>
      <c r="M14" s="0" t="n">
        <f aca="false">M11-M12-M13</f>
        <v>-16197.409204</v>
      </c>
      <c r="N14" s="0" t="n">
        <f aca="false">N11-N12-N13</f>
        <v>-15080.226586</v>
      </c>
      <c r="O14" s="0" t="n">
        <f aca="false">SUM(C14:N14)</f>
        <v>-282860.807696</v>
      </c>
    </row>
    <row r="15" customFormat="false" ht="15" hidden="false" customHeight="false" outlineLevel="0" collapsed="false">
      <c r="A15" s="0" t="s">
        <v>227</v>
      </c>
      <c r="C15" s="0" t="n">
        <f aca="false">IF(C2&gt;=Assumptions!$B$13,Assumptions!$B$12,0)</f>
        <v>0</v>
      </c>
      <c r="D15" s="0" t="n">
        <f aca="false">IF(D2&gt;=Assumptions!$B$13,Assumptions!$B$12,0)</f>
        <v>0</v>
      </c>
      <c r="E15" s="0" t="n">
        <f aca="false">IF(E2&gt;=Assumptions!$B$13,Assumptions!$B$12,0)</f>
        <v>0</v>
      </c>
      <c r="F15" s="0" t="n">
        <f aca="false">IF(F2&gt;=Assumptions!$B$13,Assumptions!$B$12,0)</f>
        <v>0</v>
      </c>
      <c r="G15" s="0" t="n">
        <f aca="false">IF(G2&gt;=Assumptions!$B$13,Assumptions!$B$12,0)</f>
        <v>0</v>
      </c>
      <c r="H15" s="0" t="n">
        <f aca="false">IF(H2&gt;=Assumptions!$B$13,Assumptions!$B$12,0)</f>
        <v>0</v>
      </c>
      <c r="I15" s="0" t="n">
        <f aca="false">IF(I2&gt;=Assumptions!$B$13,Assumptions!$B$12,0)</f>
        <v>15000</v>
      </c>
      <c r="J15" s="0" t="n">
        <f aca="false">IF(J2&gt;=Assumptions!$B$13,Assumptions!$B$12,0)</f>
        <v>15000</v>
      </c>
      <c r="K15" s="0" t="n">
        <f aca="false">IF(K2&gt;=Assumptions!$B$13,Assumptions!$B$12,0)</f>
        <v>15000</v>
      </c>
      <c r="L15" s="0" t="n">
        <f aca="false">IF(L2&gt;=Assumptions!$B$13,Assumptions!$B$12,0)</f>
        <v>15000</v>
      </c>
      <c r="M15" s="0" t="n">
        <f aca="false">IF(M2&gt;=Assumptions!$B$13,Assumptions!$B$12,0)</f>
        <v>15000</v>
      </c>
      <c r="N15" s="0" t="n">
        <f aca="false">IF(N2&gt;=Assumptions!$B$13,Assumptions!$B$12,0)</f>
        <v>15000</v>
      </c>
      <c r="O15" s="0" t="n">
        <f aca="false">SUM(C15:N15)</f>
        <v>90000</v>
      </c>
    </row>
    <row r="16" customFormat="false" ht="15" hidden="false" customHeight="false" outlineLevel="0" collapsed="false">
      <c r="A16" s="0" t="s">
        <v>228</v>
      </c>
      <c r="C16" s="0" t="n">
        <f aca="false">C14-C15</f>
        <v>-32500</v>
      </c>
      <c r="D16" s="0" t="n">
        <f aca="false">D14-D15</f>
        <v>-30775.95275</v>
      </c>
      <c r="E16" s="0" t="n">
        <f aca="false">E14-E15</f>
        <v>-28865.708397</v>
      </c>
      <c r="F16" s="0" t="n">
        <f aca="false">F14-F15</f>
        <v>-26769.266941</v>
      </c>
      <c r="G16" s="0" t="n">
        <f aca="false">G14-G15</f>
        <v>-26210.675632</v>
      </c>
      <c r="H16" s="0" t="n">
        <f aca="false">H14-H15</f>
        <v>-23928.037073</v>
      </c>
      <c r="I16" s="0" t="n">
        <f aca="false">I14-I15</f>
        <v>-38183.248661</v>
      </c>
      <c r="J16" s="0" t="n">
        <f aca="false">J14-J15</f>
        <v>-35714.412999</v>
      </c>
      <c r="K16" s="0" t="n">
        <f aca="false">K14-K15</f>
        <v>-34783.427484</v>
      </c>
      <c r="L16" s="0" t="n">
        <f aca="false">L14-L15</f>
        <v>-33852.441969</v>
      </c>
      <c r="M16" s="0" t="n">
        <f aca="false">M14-M15</f>
        <v>-31197.409204</v>
      </c>
      <c r="N16" s="0" t="n">
        <f aca="false">N14-N15</f>
        <v>-30080.226586</v>
      </c>
      <c r="O16" s="0" t="n">
        <f aca="false">SUM(C16:N16)</f>
        <v>-372860.807696</v>
      </c>
    </row>
    <row r="17" customFormat="false" ht="15" hidden="false" customHeight="false" outlineLevel="0" collapsed="false">
      <c r="A17" s="0" t="s">
        <v>229</v>
      </c>
      <c r="C17" s="0" t="n">
        <f aca="false">Assumptions!$B$9*C8+(1-Assumptions!$B$9)*IF(C2-$Q$1&gt;=1,INDEX($C8:$N8,C2-$Q$1),0)</f>
        <v>0</v>
      </c>
      <c r="D17" s="0" t="n">
        <f aca="false">Assumptions!$B$9*D8+(1-Assumptions!$B$9)*IF(D2-$Q$1&gt;=1,INDEX($C8:$N8,D2-$Q$1),0)</f>
        <v>6679.6875</v>
      </c>
      <c r="E17" s="0" t="n">
        <f aca="false">Assumptions!$B$9*E8+(1-Assumptions!$B$9)*IF(E2-$Q$1&gt;=1,INDEX($C8:$N8,E2-$Q$1),0)</f>
        <v>14080.78125</v>
      </c>
      <c r="F17" s="0" t="n">
        <f aca="false">Assumptions!$B$9*F8+(1-Assumptions!$B$9)*IF(F2-$Q$1&gt;=1,INDEX($C8:$N8,F2-$Q$1),0)</f>
        <v>28882.96875</v>
      </c>
      <c r="G17" s="0" t="n">
        <f aca="false">Assumptions!$B$9*G8+(1-Assumptions!$B$9)*IF(G2-$Q$1&gt;=1,INDEX($C8:$N8,G2-$Q$1),0)</f>
        <v>38448.28125</v>
      </c>
      <c r="H17" s="0" t="n">
        <f aca="false">Assumptions!$B$9*H8+(1-Assumptions!$B$9)*IF(H2-$Q$1&gt;=1,INDEX($C8:$N8,H2-$Q$1),0)</f>
        <v>55414.6875</v>
      </c>
      <c r="I17" s="0" t="n">
        <f aca="false">Assumptions!$B$9*I8+(1-Assumptions!$B$9)*IF(I2-$Q$1&gt;=1,INDEX($C8:$N8,I2-$Q$1),0)</f>
        <v>60464.53125</v>
      </c>
      <c r="J17" s="0" t="n">
        <f aca="false">Assumptions!$B$9*J8+(1-Assumptions!$B$9)*IF(J2-$Q$1&gt;=1,INDEX($C8:$N8,J2-$Q$1),0)</f>
        <v>78873.75</v>
      </c>
      <c r="K17" s="0" t="n">
        <f aca="false">Assumptions!$B$9*K8+(1-Assumptions!$B$9)*IF(K2-$Q$1&gt;=1,INDEX($C8:$N8,K2-$Q$1),0)</f>
        <v>85366.40625</v>
      </c>
      <c r="L17" s="0" t="n">
        <f aca="false">Assumptions!$B$9*L8+(1-Assumptions!$B$9)*IF(L2-$Q$1&gt;=1,INDEX($C8:$N8,L2-$Q$1),0)</f>
        <v>98538.75</v>
      </c>
      <c r="M17" s="0" t="n">
        <f aca="false">Assumptions!$B$9*M8+(1-Assumptions!$B$9)*IF(M2-$Q$1&gt;=1,INDEX($C8:$N8,M2-$Q$1),0)</f>
        <v>112432.5</v>
      </c>
      <c r="N17" s="0" t="n">
        <f aca="false">Assumptions!$B$9*N8+(1-Assumptions!$B$9)*IF(N2-$Q$1&gt;=1,INDEX($C8:$N8,N2-$Q$1),0)</f>
        <v>120367.96875</v>
      </c>
      <c r="O17" s="0" t="n">
        <f aca="false">SUM(C17:N17)</f>
        <v>699550.3125</v>
      </c>
    </row>
    <row r="18" customFormat="false" ht="15" hidden="false" customHeight="false" outlineLevel="0" collapsed="false">
      <c r="A18" s="0" t="s">
        <v>230</v>
      </c>
      <c r="C18" s="0" t="n">
        <f aca="false">C9+C10+C12+C13+C15</f>
        <v>32500</v>
      </c>
      <c r="D18" s="0" t="n">
        <f aca="false">D9+D10+D12+D13+D15</f>
        <v>44135.32775</v>
      </c>
      <c r="E18" s="0" t="n">
        <f aca="false">E9+E10+E12+E13+E15</f>
        <v>57027.270897</v>
      </c>
      <c r="F18" s="0" t="n">
        <f aca="false">F9+F10+F12+F13+F15</f>
        <v>71175.829441</v>
      </c>
      <c r="G18" s="0" t="n">
        <f aca="false">G9+G10+G12+G13+G15</f>
        <v>74945.675632</v>
      </c>
      <c r="H18" s="0" t="n">
        <f aca="false">H9+H10+H12+H13+H15</f>
        <v>90350.849573</v>
      </c>
      <c r="I18" s="0" t="n">
        <f aca="false">I9+I10+I12+I13+I15</f>
        <v>110377.311161</v>
      </c>
      <c r="J18" s="0" t="n">
        <f aca="false">J9+J10+J12+J13+J15</f>
        <v>127039.100499</v>
      </c>
      <c r="K18" s="0" t="n">
        <f aca="false">K9+K10+K12+K13+K15</f>
        <v>133322.177484</v>
      </c>
      <c r="L18" s="0" t="n">
        <f aca="false">L9+L10+L12+L13+L15</f>
        <v>139605.254469</v>
      </c>
      <c r="M18" s="0" t="n">
        <f aca="false">M9+M10+M12+M13+M15</f>
        <v>157523.659204</v>
      </c>
      <c r="N18" s="0" t="n">
        <f aca="false">N9+N10+N12+N13+N15</f>
        <v>165063.351586</v>
      </c>
      <c r="O18" s="0" t="n">
        <f aca="false">SUM(C18:N18)</f>
        <v>1203065.807696</v>
      </c>
    </row>
    <row r="19" customFormat="false" ht="15" hidden="false" customHeight="false" outlineLevel="0" collapsed="false">
      <c r="A19" s="0" t="s">
        <v>231</v>
      </c>
      <c r="C19" s="0" t="n">
        <f aca="false">C17-C18</f>
        <v>-32500</v>
      </c>
      <c r="D19" s="0" t="n">
        <f aca="false">D17-D18</f>
        <v>-37455.64025</v>
      </c>
      <c r="E19" s="0" t="n">
        <f aca="false">E17-E18</f>
        <v>-42946.489647</v>
      </c>
      <c r="F19" s="0" t="n">
        <f aca="false">F17-F18</f>
        <v>-42292.860691</v>
      </c>
      <c r="G19" s="0" t="n">
        <f aca="false">G17-G18</f>
        <v>-36497.394382</v>
      </c>
      <c r="H19" s="0" t="n">
        <f aca="false">H17-H18</f>
        <v>-34936.162073</v>
      </c>
      <c r="I19" s="0" t="n">
        <f aca="false">I17-I18</f>
        <v>-49912.779911</v>
      </c>
      <c r="J19" s="0" t="n">
        <f aca="false">J17-J18</f>
        <v>-48165.350499</v>
      </c>
      <c r="K19" s="0" t="n">
        <f aca="false">K17-K18</f>
        <v>-47955.771234</v>
      </c>
      <c r="L19" s="0" t="n">
        <f aca="false">L17-L18</f>
        <v>-41066.504469</v>
      </c>
      <c r="M19" s="0" t="n">
        <f aca="false">M17-M18</f>
        <v>-45091.159204</v>
      </c>
      <c r="N19" s="0" t="n">
        <f aca="false">N17-N18</f>
        <v>-44695.382836</v>
      </c>
      <c r="O19" s="0" t="n">
        <f aca="false">SUM(C19:N19)</f>
        <v>-503515.495196</v>
      </c>
    </row>
    <row r="20" customFormat="false" ht="15" hidden="false" customHeight="false" outlineLevel="0" collapsed="false">
      <c r="A20" s="0" t="s">
        <v>232</v>
      </c>
      <c r="C20" s="0" t="n">
        <f aca="false">Capital_Allocation!$C$20+C19</f>
        <v>202500</v>
      </c>
      <c r="D20" s="0" t="n">
        <f aca="false">C20+D19</f>
        <v>165044.35975</v>
      </c>
      <c r="E20" s="0" t="n">
        <f aca="false">D20+E19</f>
        <v>122097.870103</v>
      </c>
      <c r="F20" s="0" t="n">
        <f aca="false">E20+F19</f>
        <v>79805.009412</v>
      </c>
      <c r="G20" s="0" t="n">
        <f aca="false">F20+G19</f>
        <v>43307.61503</v>
      </c>
      <c r="H20" s="0" t="n">
        <f aca="false">G20+H19</f>
        <v>8371.45295699997</v>
      </c>
      <c r="I20" s="0" t="n">
        <f aca="false">H20+I19</f>
        <v>-41541.326954</v>
      </c>
      <c r="J20" s="0" t="n">
        <f aca="false">I20+J19</f>
        <v>-89706.677453</v>
      </c>
      <c r="K20" s="0" t="n">
        <f aca="false">J20+K19</f>
        <v>-137662.448687</v>
      </c>
      <c r="L20" s="0" t="n">
        <f aca="false">K20+L19</f>
        <v>-178728.953156</v>
      </c>
      <c r="M20" s="0" t="n">
        <f aca="false">L20+M19</f>
        <v>-223820.11236</v>
      </c>
      <c r="N20" s="0" t="n">
        <f aca="false">M20+N19</f>
        <v>-268515.495196</v>
      </c>
    </row>
    <row r="21" customFormat="false" ht="15" hidden="false" customHeight="false" outlineLevel="0" collapsed="false">
      <c r="A21" s="0" t="s">
        <v>233</v>
      </c>
      <c r="C21" s="0" t="n">
        <f aca="false">SUM($C8:C8)-SUM($C17:C17)</f>
        <v>0</v>
      </c>
      <c r="D21" s="0" t="n">
        <f aca="false">SUM($C8:D8)-SUM($C17:D17)</f>
        <v>6679.6875</v>
      </c>
      <c r="E21" s="0" t="n">
        <f aca="false">SUM($C8:E8)-SUM($C17:E17)</f>
        <v>20760.46875</v>
      </c>
      <c r="F21" s="0" t="n">
        <f aca="false">SUM($C8:F8)-SUM($C17:F17)</f>
        <v>36284.0625</v>
      </c>
      <c r="G21" s="0" t="n">
        <f aca="false">SUM($C8:G8)-SUM($C17:G17)</f>
        <v>46570.78125</v>
      </c>
      <c r="H21" s="0" t="n">
        <f aca="false">SUM($C8:H8)-SUM($C17:H17)</f>
        <v>57578.90625</v>
      </c>
      <c r="I21" s="0" t="n">
        <f aca="false">SUM($C8:I8)-SUM($C17:I17)</f>
        <v>69308.4375</v>
      </c>
      <c r="J21" s="0" t="n">
        <f aca="false">SUM($C8:J8)-SUM($C17:J17)</f>
        <v>81759.375</v>
      </c>
      <c r="K21" s="0" t="n">
        <f aca="false">SUM($C8:K8)-SUM($C17:K17)</f>
        <v>94931.71875</v>
      </c>
      <c r="L21" s="0" t="n">
        <f aca="false">SUM($C8:L8)-SUM($C17:L17)</f>
        <v>102145.78125</v>
      </c>
      <c r="M21" s="0" t="n">
        <f aca="false">SUM($C8:M8)-SUM($C17:M17)</f>
        <v>116039.53125</v>
      </c>
      <c r="N21" s="0" t="n">
        <f aca="false">SUM($C8:N8)-SUM($C17:N17)</f>
        <v>130654.6875</v>
      </c>
    </row>
    <row r="22" customFormat="false" ht="15" hidden="false" customHeight="false" outlineLevel="0" collapsed="false">
      <c r="A22" s="0" t="s">
        <v>234</v>
      </c>
      <c r="C22" s="0" t="n">
        <f aca="false">SUM($C16:C16)</f>
        <v>-32500</v>
      </c>
      <c r="D22" s="0" t="n">
        <f aca="false">SUM($C16:D16)</f>
        <v>-63275.95275</v>
      </c>
      <c r="E22" s="0" t="n">
        <f aca="false">SUM($C16:E16)</f>
        <v>-92141.661147</v>
      </c>
      <c r="F22" s="0" t="n">
        <f aca="false">SUM($C16:F16)</f>
        <v>-118910.928088</v>
      </c>
      <c r="G22" s="0" t="n">
        <f aca="false">SUM($C16:G16)</f>
        <v>-145121.60372</v>
      </c>
      <c r="H22" s="0" t="n">
        <f aca="false">SUM($C16:H16)</f>
        <v>-169049.640793</v>
      </c>
      <c r="I22" s="0" t="n">
        <f aca="false">SUM($C16:I16)</f>
        <v>-207232.889454</v>
      </c>
      <c r="J22" s="0" t="n">
        <f aca="false">SUM($C16:J16)</f>
        <v>-242947.302453</v>
      </c>
      <c r="K22" s="0" t="n">
        <f aca="false">SUM($C16:K16)</f>
        <v>-277730.729937</v>
      </c>
      <c r="L22" s="0" t="n">
        <f aca="false">SUM($C16:L16)</f>
        <v>-311583.171906</v>
      </c>
      <c r="M22" s="0" t="n">
        <f aca="false">SUM($C16:M16)</f>
        <v>-342780.58111</v>
      </c>
      <c r="N22" s="0" t="n">
        <f aca="false">SUM($C16:N16)</f>
        <v>-372860.807696</v>
      </c>
    </row>
    <row r="23" customFormat="false" ht="15" hidden="false" customHeight="false" outlineLevel="0" collapsed="false">
      <c r="A23" s="0" t="s">
        <v>235</v>
      </c>
      <c r="C23" s="0" t="n">
        <f aca="false">IF(C16&gt;=0,C2,99)</f>
        <v>99</v>
      </c>
      <c r="D23" s="0" t="n">
        <f aca="false">IF(D16&gt;=0,D2,99)</f>
        <v>99</v>
      </c>
      <c r="E23" s="0" t="n">
        <f aca="false">IF(E16&gt;=0,E2,99)</f>
        <v>99</v>
      </c>
      <c r="F23" s="0" t="n">
        <f aca="false">IF(F16&gt;=0,F2,99)</f>
        <v>99</v>
      </c>
      <c r="G23" s="0" t="n">
        <f aca="false">IF(G16&gt;=0,G2,99)</f>
        <v>99</v>
      </c>
      <c r="H23" s="0" t="n">
        <f aca="false">IF(H16&gt;=0,H2,99)</f>
        <v>99</v>
      </c>
      <c r="I23" s="0" t="n">
        <f aca="false">IF(I16&gt;=0,I2,99)</f>
        <v>99</v>
      </c>
      <c r="J23" s="0" t="n">
        <f aca="false">IF(J16&gt;=0,J2,99)</f>
        <v>99</v>
      </c>
      <c r="K23" s="0" t="n">
        <f aca="false">IF(K16&gt;=0,K2,99)</f>
        <v>99</v>
      </c>
      <c r="L23" s="0" t="n">
        <f aca="false">IF(L16&gt;=0,L2,99)</f>
        <v>99</v>
      </c>
      <c r="M23" s="0" t="n">
        <f aca="false">IF(M16&gt;=0,M2,99)</f>
        <v>99</v>
      </c>
      <c r="N23" s="0" t="n">
        <f aca="false">IF(N16&gt;=0,N2,99)</f>
        <v>99</v>
      </c>
    </row>
    <row r="24" customFormat="false" ht="15" hidden="false" customHeight="false" outlineLevel="0" collapsed="false">
      <c r="A24" s="0" t="s">
        <v>236</v>
      </c>
      <c r="C24" s="0" t="n">
        <f aca="false">IF(C14&gt;=0,C2,99)</f>
        <v>99</v>
      </c>
      <c r="D24" s="0" t="n">
        <f aca="false">IF(D14&gt;=0,D2,99)</f>
        <v>99</v>
      </c>
      <c r="E24" s="0" t="n">
        <f aca="false">IF(E14&gt;=0,E2,99)</f>
        <v>99</v>
      </c>
      <c r="F24" s="0" t="n">
        <f aca="false">IF(F14&gt;=0,F2,99)</f>
        <v>99</v>
      </c>
      <c r="G24" s="0" t="n">
        <f aca="false">IF(G14&gt;=0,G2,99)</f>
        <v>99</v>
      </c>
      <c r="H24" s="0" t="n">
        <f aca="false">IF(H14&gt;=0,H2,99)</f>
        <v>99</v>
      </c>
      <c r="I24" s="0" t="n">
        <f aca="false">IF(I14&gt;=0,I2,99)</f>
        <v>99</v>
      </c>
      <c r="J24" s="0" t="n">
        <f aca="false">IF(J14&gt;=0,J2,99)</f>
        <v>99</v>
      </c>
      <c r="K24" s="0" t="n">
        <f aca="false">IF(K14&gt;=0,K2,99)</f>
        <v>99</v>
      </c>
      <c r="L24" s="0" t="n">
        <f aca="false">IF(L14&gt;=0,L2,99)</f>
        <v>99</v>
      </c>
      <c r="M24" s="0" t="n">
        <f aca="false">IF(M14&gt;=0,M2,99)</f>
        <v>99</v>
      </c>
      <c r="N24" s="0" t="n">
        <f aca="false">IF(N14&gt;=0,N2,99)</f>
        <v>99</v>
      </c>
    </row>
    <row r="25" customFormat="false" ht="15" hidden="false" customHeight="false" outlineLevel="0" collapsed="false">
      <c r="A25" s="5" t="s">
        <v>237</v>
      </c>
      <c r="B25" s="3" t="n">
        <f aca="false">O8</f>
        <v>830205</v>
      </c>
    </row>
    <row r="26" customFormat="false" ht="15" hidden="false" customHeight="false" outlineLevel="0" collapsed="false">
      <c r="A26" s="5" t="s">
        <v>238</v>
      </c>
      <c r="B26" s="3" t="n">
        <f aca="false">O11</f>
        <v>107139.192304</v>
      </c>
    </row>
    <row r="27" customFormat="false" ht="15" hidden="false" customHeight="false" outlineLevel="0" collapsed="false">
      <c r="A27" s="5" t="s">
        <v>239</v>
      </c>
      <c r="B27" s="3" t="n">
        <f aca="false">O16</f>
        <v>-372860.807696</v>
      </c>
    </row>
    <row r="28" customFormat="false" ht="15" hidden="false" customHeight="false" outlineLevel="0" collapsed="false">
      <c r="A28" s="5" t="s">
        <v>240</v>
      </c>
      <c r="B28" s="3" t="n">
        <f aca="false">MIN(C20:N20)</f>
        <v>-268515.495196</v>
      </c>
    </row>
    <row r="29" customFormat="false" ht="15" hidden="false" customHeight="false" outlineLevel="0" collapsed="false">
      <c r="A29" s="5" t="s">
        <v>241</v>
      </c>
      <c r="B29" s="3" t="n">
        <f aca="false">N20</f>
        <v>-268515.495196</v>
      </c>
    </row>
    <row r="30" customFormat="false" ht="15" hidden="false" customHeight="false" outlineLevel="0" collapsed="false">
      <c r="A30" s="5" t="s">
        <v>242</v>
      </c>
      <c r="B30" s="0" t="str">
        <f aca="false">IF(B28&gt;=0,"YES","NO")</f>
        <v>NO</v>
      </c>
    </row>
    <row r="31" customFormat="false" ht="15" hidden="false" customHeight="false" outlineLevel="0" collapsed="false">
      <c r="A31" s="5" t="s">
        <v>243</v>
      </c>
      <c r="B31" s="0" t="str">
        <f aca="false">IF(B28&gt;=Capital_Allocation!$C$16,"YES","NO")</f>
        <v>NO</v>
      </c>
    </row>
    <row r="32" customFormat="false" ht="15" hidden="false" customHeight="false" outlineLevel="0" collapsed="false">
      <c r="A32" s="5" t="s">
        <v>244</v>
      </c>
      <c r="B32" s="0" t="str">
        <f aca="false">IF(MIN(C24:N24)=99,"none in 12 mo",MIN(C24:N24))</f>
        <v>none in 12 mo</v>
      </c>
    </row>
    <row r="33" customFormat="false" ht="15" hidden="false" customHeight="false" outlineLevel="0" collapsed="false">
      <c r="A33" s="5" t="s">
        <v>245</v>
      </c>
      <c r="B33" s="3" t="n">
        <f aca="false">N16</f>
        <v>-30080.226586</v>
      </c>
    </row>
    <row r="34" customFormat="false" ht="15" hidden="false" customHeight="false" outlineLevel="0" collapsed="false">
      <c r="A34" s="5" t="s">
        <v>246</v>
      </c>
      <c r="B34" s="3" t="n">
        <f aca="false">N21</f>
        <v>130654.6875</v>
      </c>
    </row>
    <row r="35" customFormat="false" ht="15" hidden="false" customHeight="false" outlineLevel="0" collapsed="false">
      <c r="A35" s="5" t="s">
        <v>247</v>
      </c>
      <c r="B35" s="0" t="str">
        <f aca="false">IF(MIN(C23:N23)=99,"none in 12 mo",MIN(C23:N23))</f>
        <v>none in 12 mo</v>
      </c>
    </row>
    <row r="39" customFormat="false" ht="15" hidden="false" customHeight="false" outlineLevel="0" collapsed="false">
      <c r="A39" s="5" t="s">
        <v>248</v>
      </c>
      <c r="P39" s="3" t="s">
        <v>214</v>
      </c>
      <c r="Q39" s="3" t="n">
        <f aca="false">MAX(1,ROUNDUP((Assumptions!$B$10+Scenario_Inputs!$F$7)/30,0))</f>
        <v>1</v>
      </c>
    </row>
    <row r="40" customFormat="false" ht="15" hidden="false" customHeight="false" outlineLevel="0" collapsed="false">
      <c r="A40" s="0" t="s">
        <v>66</v>
      </c>
      <c r="C40" s="0" t="n">
        <v>1</v>
      </c>
      <c r="D40" s="0" t="n">
        <v>2</v>
      </c>
      <c r="E40" s="0" t="n">
        <v>3</v>
      </c>
      <c r="F40" s="0" t="n">
        <v>4</v>
      </c>
      <c r="G40" s="0" t="n">
        <v>5</v>
      </c>
      <c r="H40" s="0" t="n">
        <v>6</v>
      </c>
      <c r="I40" s="0" t="n">
        <v>7</v>
      </c>
      <c r="J40" s="0" t="n">
        <v>8</v>
      </c>
      <c r="K40" s="0" t="n">
        <v>9</v>
      </c>
      <c r="L40" s="0" t="n">
        <v>10</v>
      </c>
      <c r="M40" s="0" t="n">
        <v>11</v>
      </c>
      <c r="N40" s="0" t="n">
        <v>12</v>
      </c>
      <c r="O40" s="5" t="s">
        <v>215</v>
      </c>
    </row>
    <row r="41" customFormat="false" ht="15" hidden="false" customHeight="false" outlineLevel="0" collapsed="false">
      <c r="A41" s="0" t="s">
        <v>216</v>
      </c>
      <c r="C41" s="0" t="n">
        <f aca="false">Assumptions!B$33*Scenario_Inputs!$D$7</f>
        <v>0</v>
      </c>
      <c r="D41" s="0" t="n">
        <f aca="false">Assumptions!C$33*Scenario_Inputs!$D$7</f>
        <v>1</v>
      </c>
      <c r="E41" s="0" t="n">
        <f aca="false">Assumptions!D$33*Scenario_Inputs!$D$7</f>
        <v>2</v>
      </c>
      <c r="F41" s="0" t="n">
        <f aca="false">Assumptions!E$33*Scenario_Inputs!$D$7</f>
        <v>3</v>
      </c>
      <c r="G41" s="0" t="n">
        <f aca="false">Assumptions!F$33*Scenario_Inputs!$D$7</f>
        <v>3</v>
      </c>
      <c r="H41" s="0" t="n">
        <f aca="false">Assumptions!G$33*Scenario_Inputs!$D$7</f>
        <v>4</v>
      </c>
      <c r="I41" s="0" t="n">
        <f aca="false">Assumptions!H$33*Scenario_Inputs!$D$7</f>
        <v>4</v>
      </c>
      <c r="J41" s="0" t="n">
        <f aca="false">Assumptions!I$33*Scenario_Inputs!$D$7</f>
        <v>5</v>
      </c>
      <c r="K41" s="0" t="n">
        <f aca="false">Assumptions!J$33*Scenario_Inputs!$D$7</f>
        <v>5</v>
      </c>
      <c r="L41" s="0" t="n">
        <f aca="false">Assumptions!K$33*Scenario_Inputs!$D$7</f>
        <v>5</v>
      </c>
      <c r="M41" s="0" t="n">
        <f aca="false">Assumptions!L$33*Scenario_Inputs!$D$7</f>
        <v>6</v>
      </c>
      <c r="N41" s="0" t="n">
        <f aca="false">Assumptions!M$33*Scenario_Inputs!$D$7</f>
        <v>6</v>
      </c>
      <c r="O41" s="0" t="n">
        <f aca="false">SUM(C41:N41)</f>
        <v>44</v>
      </c>
    </row>
    <row r="42" customFormat="false" ht="15" hidden="false" customHeight="false" outlineLevel="0" collapsed="false">
      <c r="A42" s="0" t="s">
        <v>217</v>
      </c>
      <c r="C42" s="0" t="n">
        <v>0</v>
      </c>
      <c r="D42" s="0" t="n">
        <f aca="false">SUM($C41:C41)</f>
        <v>0</v>
      </c>
      <c r="E42" s="0" t="n">
        <f aca="false">SUM($C41:D41)</f>
        <v>1</v>
      </c>
      <c r="F42" s="0" t="n">
        <f aca="false">SUM($C41:E41)</f>
        <v>3</v>
      </c>
      <c r="G42" s="0" t="n">
        <f aca="false">SUM($C41:F41)</f>
        <v>6</v>
      </c>
      <c r="H42" s="0" t="n">
        <f aca="false">SUM($C41:G41)</f>
        <v>9</v>
      </c>
      <c r="I42" s="0" t="n">
        <f aca="false">SUM($C41:H41)</f>
        <v>13</v>
      </c>
      <c r="J42" s="0" t="n">
        <f aca="false">SUM($C41:I41)</f>
        <v>17</v>
      </c>
      <c r="K42" s="0" t="n">
        <f aca="false">SUM($C41:J41)</f>
        <v>22</v>
      </c>
      <c r="L42" s="0" t="n">
        <f aca="false">SUM($C41:K41)</f>
        <v>27</v>
      </c>
      <c r="M42" s="0" t="n">
        <f aca="false">SUM($C41:L41)</f>
        <v>32</v>
      </c>
      <c r="N42" s="0" t="n">
        <f aca="false">SUM($C41:M41)</f>
        <v>38</v>
      </c>
    </row>
    <row r="43" customFormat="false" ht="15" hidden="false" customHeight="false" outlineLevel="0" collapsed="false">
      <c r="A43" s="0" t="s">
        <v>218</v>
      </c>
      <c r="C43" s="0" t="n">
        <f aca="false">C42*Assumptions!$B$11*Scenario_Inputs!$E$7</f>
        <v>0</v>
      </c>
      <c r="D43" s="0" t="n">
        <f aca="false">D42*Assumptions!$B$11*Scenario_Inputs!$E$7</f>
        <v>0</v>
      </c>
      <c r="E43" s="0" t="n">
        <f aca="false">E42*Assumptions!$B$11*Scenario_Inputs!$E$7</f>
        <v>0.18</v>
      </c>
      <c r="F43" s="0" t="n">
        <f aca="false">F42*Assumptions!$B$11*Scenario_Inputs!$E$7</f>
        <v>0.54</v>
      </c>
      <c r="G43" s="0" t="n">
        <f aca="false">G42*Assumptions!$B$11*Scenario_Inputs!$E$7</f>
        <v>1.08</v>
      </c>
      <c r="H43" s="0" t="n">
        <f aca="false">H42*Assumptions!$B$11*Scenario_Inputs!$E$7</f>
        <v>1.62</v>
      </c>
      <c r="I43" s="0" t="n">
        <f aca="false">I42*Assumptions!$B$11*Scenario_Inputs!$E$7</f>
        <v>2.34</v>
      </c>
      <c r="J43" s="0" t="n">
        <f aca="false">J42*Assumptions!$B$11*Scenario_Inputs!$E$7</f>
        <v>3.06</v>
      </c>
      <c r="K43" s="0" t="n">
        <f aca="false">K42*Assumptions!$B$11*Scenario_Inputs!$E$7</f>
        <v>3.96</v>
      </c>
      <c r="L43" s="0" t="n">
        <f aca="false">L42*Assumptions!$B$11*Scenario_Inputs!$E$7</f>
        <v>4.86</v>
      </c>
      <c r="M43" s="0" t="n">
        <f aca="false">M42*Assumptions!$B$11*Scenario_Inputs!$E$7</f>
        <v>5.76</v>
      </c>
      <c r="N43" s="0" t="n">
        <f aca="false">N42*Assumptions!$B$11*Scenario_Inputs!$E$7</f>
        <v>6.84</v>
      </c>
      <c r="O43" s="0" t="n">
        <f aca="false">SUM(C43:N43)</f>
        <v>30.24</v>
      </c>
    </row>
    <row r="44" customFormat="false" ht="15" hidden="false" customHeight="false" outlineLevel="0" collapsed="false">
      <c r="A44" s="0" t="s">
        <v>219</v>
      </c>
      <c r="C44" s="0" t="n">
        <f aca="false">C41+C43</f>
        <v>0</v>
      </c>
      <c r="D44" s="0" t="n">
        <f aca="false">D41+D43</f>
        <v>1</v>
      </c>
      <c r="E44" s="0" t="n">
        <f aca="false">E41+E43</f>
        <v>2.18</v>
      </c>
      <c r="F44" s="0" t="n">
        <f aca="false">F41+F43</f>
        <v>3.54</v>
      </c>
      <c r="G44" s="0" t="n">
        <f aca="false">G41+G43</f>
        <v>4.08</v>
      </c>
      <c r="H44" s="0" t="n">
        <f aca="false">H41+H43</f>
        <v>5.62</v>
      </c>
      <c r="I44" s="0" t="n">
        <f aca="false">I41+I43</f>
        <v>6.34</v>
      </c>
      <c r="J44" s="0" t="n">
        <f aca="false">J41+J43</f>
        <v>8.06</v>
      </c>
      <c r="K44" s="0" t="n">
        <f aca="false">K41+K43</f>
        <v>8.96</v>
      </c>
      <c r="L44" s="0" t="n">
        <f aca="false">L41+L43</f>
        <v>9.86</v>
      </c>
      <c r="M44" s="0" t="n">
        <f aca="false">M41+M43</f>
        <v>11.76</v>
      </c>
      <c r="N44" s="0" t="n">
        <f aca="false">N41+N43</f>
        <v>12.84</v>
      </c>
      <c r="O44" s="0" t="n">
        <f aca="false">SUM(C44:N44)</f>
        <v>74.24</v>
      </c>
    </row>
    <row r="45" customFormat="false" ht="15" hidden="false" customHeight="false" outlineLevel="0" collapsed="false">
      <c r="A45" s="0" t="s">
        <v>220</v>
      </c>
      <c r="C45" s="0" t="n">
        <f aca="false">C44*Assumptions!$B$5*Scenario_Inputs!G$8</f>
        <v>0</v>
      </c>
      <c r="D45" s="0" t="n">
        <f aca="false">D44*Assumptions!$B$5*Scenario_Inputs!H$8</f>
        <v>26718.75</v>
      </c>
      <c r="E45" s="0" t="n">
        <f aca="false">E44*Assumptions!$B$5*Scenario_Inputs!I$8</f>
        <v>58246.875</v>
      </c>
      <c r="F45" s="0" t="n">
        <f aca="false">F44*Assumptions!$B$5*Scenario_Inputs!J$8</f>
        <v>94584.375</v>
      </c>
      <c r="G45" s="0" t="n">
        <f aca="false">G44*Assumptions!$B$5*Scenario_Inputs!K$8</f>
        <v>109012.5</v>
      </c>
      <c r="H45" s="0" t="n">
        <f aca="false">H44*Assumptions!$B$5*Scenario_Inputs!L$8</f>
        <v>150159.375</v>
      </c>
      <c r="I45" s="0" t="n">
        <f aca="false">I44*Assumptions!$B$5*Scenario_Inputs!M$8</f>
        <v>169396.875</v>
      </c>
      <c r="J45" s="0" t="n">
        <f aca="false">J44*Assumptions!$B$5*Scenario_Inputs!N$8</f>
        <v>215353.125</v>
      </c>
      <c r="K45" s="0" t="n">
        <f aca="false">K44*Assumptions!$B$5*Scenario_Inputs!O$8</f>
        <v>239400</v>
      </c>
      <c r="L45" s="0" t="n">
        <f aca="false">L44*Assumptions!$B$5*Scenario_Inputs!P$8</f>
        <v>263446.875</v>
      </c>
      <c r="M45" s="0" t="n">
        <f aca="false">M44*Assumptions!$B$5*Scenario_Inputs!Q$8</f>
        <v>314212.5</v>
      </c>
      <c r="N45" s="0" t="n">
        <f aca="false">N44*Assumptions!$B$5*Scenario_Inputs!R$8</f>
        <v>343068.75</v>
      </c>
      <c r="O45" s="0" t="n">
        <f aca="false">SUM(C45:N45)</f>
        <v>1983600</v>
      </c>
    </row>
    <row r="46" customFormat="false" ht="15" hidden="false" customHeight="false" outlineLevel="0" collapsed="false">
      <c r="A46" s="0" t="s">
        <v>221</v>
      </c>
      <c r="C46" s="0" t="n">
        <f aca="false">C45*Scenario_Inputs!$B$7</f>
        <v>0</v>
      </c>
      <c r="D46" s="0" t="n">
        <f aca="false">D45*Scenario_Inputs!$B$7</f>
        <v>26718.75</v>
      </c>
      <c r="E46" s="0" t="n">
        <f aca="false">E45*Scenario_Inputs!$B$7</f>
        <v>58246.875</v>
      </c>
      <c r="F46" s="0" t="n">
        <f aca="false">F45*Scenario_Inputs!$B$7</f>
        <v>94584.375</v>
      </c>
      <c r="G46" s="0" t="n">
        <f aca="false">G45*Scenario_Inputs!$B$7</f>
        <v>109012.5</v>
      </c>
      <c r="H46" s="0" t="n">
        <f aca="false">H45*Scenario_Inputs!$B$7</f>
        <v>150159.375</v>
      </c>
      <c r="I46" s="0" t="n">
        <f aca="false">I45*Scenario_Inputs!$B$7</f>
        <v>169396.875</v>
      </c>
      <c r="J46" s="0" t="n">
        <f aca="false">J45*Scenario_Inputs!$B$7</f>
        <v>215353.125</v>
      </c>
      <c r="K46" s="0" t="n">
        <f aca="false">K45*Scenario_Inputs!$B$7</f>
        <v>239400</v>
      </c>
      <c r="L46" s="0" t="n">
        <f aca="false">L45*Scenario_Inputs!$B$7</f>
        <v>263446.875</v>
      </c>
      <c r="M46" s="0" t="n">
        <f aca="false">M45*Scenario_Inputs!$B$7</f>
        <v>314212.5</v>
      </c>
      <c r="N46" s="0" t="n">
        <f aca="false">N45*Scenario_Inputs!$B$7</f>
        <v>343068.75</v>
      </c>
      <c r="O46" s="0" t="n">
        <f aca="false">SUM(C46:N46)</f>
        <v>1983600</v>
      </c>
    </row>
    <row r="47" customFormat="false" ht="15" hidden="false" customHeight="false" outlineLevel="0" collapsed="false">
      <c r="A47" s="0" t="s">
        <v>222</v>
      </c>
      <c r="C47" s="0" t="n">
        <f aca="false">C45*(1-Assumptions!$B$6)*Scenario_Inputs!$C$7*(1+(1-Assumptions!$B$26)*Assumptions!$B$21*Assumptions!$B$27)</f>
        <v>0</v>
      </c>
      <c r="D47" s="0" t="n">
        <f aca="false">D45*(1-Assumptions!$B$6)*Scenario_Inputs!$C$7*(1+(1-Assumptions!$B$26)*Assumptions!$B$21*Assumptions!$B$27)</f>
        <v>19697.755</v>
      </c>
      <c r="E47" s="0" t="n">
        <f aca="false">E45*(1-Assumptions!$B$6)*Scenario_Inputs!$C$7*(1+(1-Assumptions!$B$26)*Assumptions!$B$21*Assumptions!$B$27)</f>
        <v>42941.1059</v>
      </c>
      <c r="F47" s="0" t="n">
        <f aca="false">F45*(1-Assumptions!$B$6)*Scenario_Inputs!$C$7*(1+(1-Assumptions!$B$26)*Assumptions!$B$21*Assumptions!$B$27)</f>
        <v>69730.0527</v>
      </c>
      <c r="G47" s="0" t="n">
        <f aca="false">G45*(1-Assumptions!$B$6)*Scenario_Inputs!$C$7*(1+(1-Assumptions!$B$26)*Assumptions!$B$21*Assumptions!$B$27)</f>
        <v>80366.8404</v>
      </c>
      <c r="H47" s="0" t="n">
        <f aca="false">H45*(1-Assumptions!$B$6)*Scenario_Inputs!$C$7*(1+(1-Assumptions!$B$26)*Assumptions!$B$21*Assumptions!$B$27)</f>
        <v>110701.3831</v>
      </c>
      <c r="I47" s="0" t="n">
        <f aca="false">I45*(1-Assumptions!$B$6)*Scenario_Inputs!$C$7*(1+(1-Assumptions!$B$26)*Assumptions!$B$21*Assumptions!$B$27)</f>
        <v>124883.7667</v>
      </c>
      <c r="J47" s="0" t="n">
        <f aca="false">J45*(1-Assumptions!$B$6)*Scenario_Inputs!$C$7*(1+(1-Assumptions!$B$26)*Assumptions!$B$21*Assumptions!$B$27)</f>
        <v>158763.9053</v>
      </c>
      <c r="K47" s="0" t="n">
        <f aca="false">K45*(1-Assumptions!$B$6)*Scenario_Inputs!$C$7*(1+(1-Assumptions!$B$26)*Assumptions!$B$21*Assumptions!$B$27)</f>
        <v>176491.8848</v>
      </c>
      <c r="L47" s="0" t="n">
        <f aca="false">L45*(1-Assumptions!$B$6)*Scenario_Inputs!$C$7*(1+(1-Assumptions!$B$26)*Assumptions!$B$21*Assumptions!$B$27)</f>
        <v>194219.8643</v>
      </c>
      <c r="M47" s="0" t="n">
        <f aca="false">M45*(1-Assumptions!$B$6)*Scenario_Inputs!$C$7*(1+(1-Assumptions!$B$26)*Assumptions!$B$21*Assumptions!$B$27)</f>
        <v>231645.5988</v>
      </c>
      <c r="N47" s="0" t="n">
        <f aca="false">N45*(1-Assumptions!$B$6)*Scenario_Inputs!$C$7*(1+(1-Assumptions!$B$26)*Assumptions!$B$21*Assumptions!$B$27)</f>
        <v>252919.1742</v>
      </c>
      <c r="O47" s="0" t="n">
        <f aca="false">SUM(C47:N47)</f>
        <v>1462361.3312</v>
      </c>
    </row>
    <row r="48" customFormat="false" ht="15" hidden="false" customHeight="false" outlineLevel="0" collapsed="false">
      <c r="A48" s="0" t="s">
        <v>223</v>
      </c>
      <c r="C48" s="0" t="n">
        <f aca="false">C46*(Assumptions!$B$7+Assumptions!$B$8)</f>
        <v>0</v>
      </c>
      <c r="D48" s="0" t="n">
        <f aca="false">D46*(Assumptions!$B$7+Assumptions!$B$8)</f>
        <v>1603.125</v>
      </c>
      <c r="E48" s="0" t="n">
        <f aca="false">E46*(Assumptions!$B$7+Assumptions!$B$8)</f>
        <v>3494.8125</v>
      </c>
      <c r="F48" s="0" t="n">
        <f aca="false">F46*(Assumptions!$B$7+Assumptions!$B$8)</f>
        <v>5675.0625</v>
      </c>
      <c r="G48" s="0" t="n">
        <f aca="false">G46*(Assumptions!$B$7+Assumptions!$B$8)</f>
        <v>6540.75</v>
      </c>
      <c r="H48" s="0" t="n">
        <f aca="false">H46*(Assumptions!$B$7+Assumptions!$B$8)</f>
        <v>9009.5625</v>
      </c>
      <c r="I48" s="0" t="n">
        <f aca="false">I46*(Assumptions!$B$7+Assumptions!$B$8)</f>
        <v>10163.8125</v>
      </c>
      <c r="J48" s="0" t="n">
        <f aca="false">J46*(Assumptions!$B$7+Assumptions!$B$8)</f>
        <v>12921.1875</v>
      </c>
      <c r="K48" s="0" t="n">
        <f aca="false">K46*(Assumptions!$B$7+Assumptions!$B$8)</f>
        <v>14364</v>
      </c>
      <c r="L48" s="0" t="n">
        <f aca="false">L46*(Assumptions!$B$7+Assumptions!$B$8)</f>
        <v>15806.8125</v>
      </c>
      <c r="M48" s="0" t="n">
        <f aca="false">M46*(Assumptions!$B$7+Assumptions!$B$8)</f>
        <v>18852.75</v>
      </c>
      <c r="N48" s="0" t="n">
        <f aca="false">N46*(Assumptions!$B$7+Assumptions!$B$8)</f>
        <v>20584.125</v>
      </c>
      <c r="O48" s="0" t="n">
        <f aca="false">SUM(C48:N48)</f>
        <v>119016</v>
      </c>
    </row>
    <row r="49" customFormat="false" ht="15" hidden="false" customHeight="false" outlineLevel="0" collapsed="false">
      <c r="A49" s="0" t="s">
        <v>198</v>
      </c>
      <c r="C49" s="0" t="n">
        <f aca="false">C46-C47-C48</f>
        <v>0</v>
      </c>
      <c r="D49" s="0" t="n">
        <f aca="false">D46-D47-D48</f>
        <v>5417.87</v>
      </c>
      <c r="E49" s="0" t="n">
        <f aca="false">E46-E47-E48</f>
        <v>11810.9566</v>
      </c>
      <c r="F49" s="0" t="n">
        <f aca="false">F46-F47-F48</f>
        <v>19179.2598</v>
      </c>
      <c r="G49" s="0" t="n">
        <f aca="false">G46-G47-G48</f>
        <v>22104.9096</v>
      </c>
      <c r="H49" s="0" t="n">
        <f aca="false">H46-H47-H48</f>
        <v>30448.4294</v>
      </c>
      <c r="I49" s="0" t="n">
        <f aca="false">I46-I47-I48</f>
        <v>34349.2958</v>
      </c>
      <c r="J49" s="0" t="n">
        <f aca="false">J46-J47-J48</f>
        <v>43668.0322</v>
      </c>
      <c r="K49" s="0" t="n">
        <f aca="false">K46-K47-K48</f>
        <v>48544.1152</v>
      </c>
      <c r="L49" s="0" t="n">
        <f aca="false">L46-L47-L48</f>
        <v>53420.1982</v>
      </c>
      <c r="M49" s="0" t="n">
        <f aca="false">M46-M47-M48</f>
        <v>63714.1512</v>
      </c>
      <c r="N49" s="0" t="n">
        <f aca="false">N46-N47-N48</f>
        <v>69565.4508</v>
      </c>
      <c r="O49" s="0" t="n">
        <f aca="false">SUM(C49:N49)</f>
        <v>402222.6688</v>
      </c>
    </row>
    <row r="50" customFormat="false" ht="15" hidden="false" customHeight="false" outlineLevel="0" collapsed="false">
      <c r="A50" s="0" t="s">
        <v>224</v>
      </c>
      <c r="C50" s="0" t="n">
        <f aca="false">Assumptions!$B$29</f>
        <v>32500</v>
      </c>
      <c r="D50" s="0" t="n">
        <f aca="false">Assumptions!$B$29</f>
        <v>32500</v>
      </c>
      <c r="E50" s="0" t="n">
        <f aca="false">Assumptions!$B$29</f>
        <v>32500</v>
      </c>
      <c r="F50" s="0" t="n">
        <f aca="false">Assumptions!$B$29</f>
        <v>32500</v>
      </c>
      <c r="G50" s="0" t="n">
        <f aca="false">Assumptions!$B$29</f>
        <v>32500</v>
      </c>
      <c r="H50" s="0" t="n">
        <f aca="false">Assumptions!$B$29</f>
        <v>32500</v>
      </c>
      <c r="I50" s="0" t="n">
        <f aca="false">Assumptions!$B$29</f>
        <v>32500</v>
      </c>
      <c r="J50" s="0" t="n">
        <f aca="false">Assumptions!$B$29</f>
        <v>32500</v>
      </c>
      <c r="K50" s="0" t="n">
        <f aca="false">Assumptions!$B$29</f>
        <v>32500</v>
      </c>
      <c r="L50" s="0" t="n">
        <f aca="false">Assumptions!$B$29</f>
        <v>32500</v>
      </c>
      <c r="M50" s="0" t="n">
        <f aca="false">Assumptions!$B$29</f>
        <v>32500</v>
      </c>
      <c r="N50" s="0" t="n">
        <f aca="false">Assumptions!$B$29</f>
        <v>32500</v>
      </c>
      <c r="O50" s="0" t="n">
        <f aca="false">SUM(C50:N50)</f>
        <v>390000</v>
      </c>
    </row>
    <row r="51" customFormat="false" ht="15" hidden="false" customHeight="false" outlineLevel="0" collapsed="false">
      <c r="A51" s="0" t="s">
        <v>225</v>
      </c>
      <c r="C51" s="0" t="n">
        <f aca="false">Scenario_Inputs!G$9</f>
        <v>0</v>
      </c>
      <c r="D51" s="0" t="n">
        <f aca="false">Scenario_Inputs!H$9</f>
        <v>0</v>
      </c>
      <c r="E51" s="0" t="n">
        <f aca="false">Scenario_Inputs!I$9</f>
        <v>0</v>
      </c>
      <c r="F51" s="0" t="n">
        <f aca="false">Scenario_Inputs!J$9</f>
        <v>0</v>
      </c>
      <c r="G51" s="0" t="n">
        <f aca="false">Scenario_Inputs!K$9</f>
        <v>0</v>
      </c>
      <c r="H51" s="0" t="n">
        <f aca="false">Scenario_Inputs!L$9</f>
        <v>0</v>
      </c>
      <c r="I51" s="0" t="n">
        <f aca="false">Scenario_Inputs!M$9</f>
        <v>0</v>
      </c>
      <c r="J51" s="0" t="n">
        <f aca="false">Scenario_Inputs!N$9</f>
        <v>0</v>
      </c>
      <c r="K51" s="0" t="n">
        <f aca="false">Scenario_Inputs!O$9</f>
        <v>0</v>
      </c>
      <c r="L51" s="0" t="n">
        <f aca="false">Scenario_Inputs!P$9</f>
        <v>0</v>
      </c>
      <c r="M51" s="0" t="n">
        <f aca="false">Scenario_Inputs!Q$9</f>
        <v>0</v>
      </c>
      <c r="N51" s="0" t="n">
        <f aca="false">Scenario_Inputs!R$9</f>
        <v>0</v>
      </c>
      <c r="O51" s="0" t="n">
        <f aca="false">SUM(C51:N51)</f>
        <v>0</v>
      </c>
    </row>
    <row r="52" customFormat="false" ht="15" hidden="false" customHeight="false" outlineLevel="0" collapsed="false">
      <c r="A52" s="0" t="s">
        <v>226</v>
      </c>
      <c r="C52" s="0" t="n">
        <f aca="false">C49-C50-C51</f>
        <v>-32500</v>
      </c>
      <c r="D52" s="0" t="n">
        <f aca="false">D49-D50-D51</f>
        <v>-27082.13</v>
      </c>
      <c r="E52" s="0" t="n">
        <f aca="false">E49-E50-E51</f>
        <v>-20689.0434</v>
      </c>
      <c r="F52" s="0" t="n">
        <f aca="false">F49-F50-F51</f>
        <v>-13320.7402</v>
      </c>
      <c r="G52" s="0" t="n">
        <f aca="false">G49-G50-G51</f>
        <v>-10395.0904</v>
      </c>
      <c r="H52" s="0" t="n">
        <f aca="false">H49-H50-H51</f>
        <v>-2051.57060000001</v>
      </c>
      <c r="I52" s="0" t="n">
        <f aca="false">I49-I50-I51</f>
        <v>1849.29579999998</v>
      </c>
      <c r="J52" s="0" t="n">
        <f aca="false">J49-J50-J51</f>
        <v>11168.0322</v>
      </c>
      <c r="K52" s="0" t="n">
        <f aca="false">K49-K50-K51</f>
        <v>16044.1152</v>
      </c>
      <c r="L52" s="0" t="n">
        <f aca="false">L49-L50-L51</f>
        <v>20920.1982</v>
      </c>
      <c r="M52" s="0" t="n">
        <f aca="false">M49-M50-M51</f>
        <v>31214.1512</v>
      </c>
      <c r="N52" s="0" t="n">
        <f aca="false">N49-N50-N51</f>
        <v>37065.4508</v>
      </c>
      <c r="O52" s="0" t="n">
        <f aca="false">SUM(C52:N52)</f>
        <v>12222.6687999999</v>
      </c>
    </row>
    <row r="53" customFormat="false" ht="15" hidden="false" customHeight="false" outlineLevel="0" collapsed="false">
      <c r="A53" s="0" t="s">
        <v>227</v>
      </c>
      <c r="C53" s="0" t="n">
        <f aca="false">IF(C40&gt;=Assumptions!$B$13,Assumptions!$B$12,0)</f>
        <v>0</v>
      </c>
      <c r="D53" s="0" t="n">
        <f aca="false">IF(D40&gt;=Assumptions!$B$13,Assumptions!$B$12,0)</f>
        <v>0</v>
      </c>
      <c r="E53" s="0" t="n">
        <f aca="false">IF(E40&gt;=Assumptions!$B$13,Assumptions!$B$12,0)</f>
        <v>0</v>
      </c>
      <c r="F53" s="0" t="n">
        <f aca="false">IF(F40&gt;=Assumptions!$B$13,Assumptions!$B$12,0)</f>
        <v>0</v>
      </c>
      <c r="G53" s="0" t="n">
        <f aca="false">IF(G40&gt;=Assumptions!$B$13,Assumptions!$B$12,0)</f>
        <v>0</v>
      </c>
      <c r="H53" s="0" t="n">
        <f aca="false">IF(H40&gt;=Assumptions!$B$13,Assumptions!$B$12,0)</f>
        <v>0</v>
      </c>
      <c r="I53" s="0" t="n">
        <f aca="false">IF(I40&gt;=Assumptions!$B$13,Assumptions!$B$12,0)</f>
        <v>15000</v>
      </c>
      <c r="J53" s="0" t="n">
        <f aca="false">IF(J40&gt;=Assumptions!$B$13,Assumptions!$B$12,0)</f>
        <v>15000</v>
      </c>
      <c r="K53" s="0" t="n">
        <f aca="false">IF(K40&gt;=Assumptions!$B$13,Assumptions!$B$12,0)</f>
        <v>15000</v>
      </c>
      <c r="L53" s="0" t="n">
        <f aca="false">IF(L40&gt;=Assumptions!$B$13,Assumptions!$B$12,0)</f>
        <v>15000</v>
      </c>
      <c r="M53" s="0" t="n">
        <f aca="false">IF(M40&gt;=Assumptions!$B$13,Assumptions!$B$12,0)</f>
        <v>15000</v>
      </c>
      <c r="N53" s="0" t="n">
        <f aca="false">IF(N40&gt;=Assumptions!$B$13,Assumptions!$B$12,0)</f>
        <v>15000</v>
      </c>
      <c r="O53" s="0" t="n">
        <f aca="false">SUM(C53:N53)</f>
        <v>90000</v>
      </c>
    </row>
    <row r="54" customFormat="false" ht="15" hidden="false" customHeight="false" outlineLevel="0" collapsed="false">
      <c r="A54" s="0" t="s">
        <v>228</v>
      </c>
      <c r="C54" s="0" t="n">
        <f aca="false">C52-C53</f>
        <v>-32500</v>
      </c>
      <c r="D54" s="0" t="n">
        <f aca="false">D52-D53</f>
        <v>-27082.13</v>
      </c>
      <c r="E54" s="0" t="n">
        <f aca="false">E52-E53</f>
        <v>-20689.0434</v>
      </c>
      <c r="F54" s="0" t="n">
        <f aca="false">F52-F53</f>
        <v>-13320.7402</v>
      </c>
      <c r="G54" s="0" t="n">
        <f aca="false">G52-G53</f>
        <v>-10395.0904</v>
      </c>
      <c r="H54" s="0" t="n">
        <f aca="false">H52-H53</f>
        <v>-2051.57060000001</v>
      </c>
      <c r="I54" s="0" t="n">
        <f aca="false">I52-I53</f>
        <v>-13150.7042</v>
      </c>
      <c r="J54" s="0" t="n">
        <f aca="false">J52-J53</f>
        <v>-3831.96780000001</v>
      </c>
      <c r="K54" s="0" t="n">
        <f aca="false">K52-K53</f>
        <v>1044.11519999997</v>
      </c>
      <c r="L54" s="0" t="n">
        <f aca="false">L52-L53</f>
        <v>5920.19819999998</v>
      </c>
      <c r="M54" s="0" t="n">
        <f aca="false">M52-M53</f>
        <v>16214.1512</v>
      </c>
      <c r="N54" s="0" t="n">
        <f aca="false">N52-N53</f>
        <v>22065.4508</v>
      </c>
      <c r="O54" s="0" t="n">
        <f aca="false">SUM(C54:N54)</f>
        <v>-77777.3312000001</v>
      </c>
    </row>
    <row r="55" customFormat="false" ht="15" hidden="false" customHeight="false" outlineLevel="0" collapsed="false">
      <c r="A55" s="0" t="s">
        <v>229</v>
      </c>
      <c r="C55" s="0" t="n">
        <f aca="false">Assumptions!$B$9*C46+(1-Assumptions!$B$9)*IF(C40-$Q$39&gt;=1,INDEX($C46:$N46,C40-$Q$39),0)</f>
        <v>0</v>
      </c>
      <c r="D55" s="0" t="n">
        <f aca="false">Assumptions!$B$9*D46+(1-Assumptions!$B$9)*IF(D40-$Q$39&gt;=1,INDEX($C46:$N46,D40-$Q$39),0)</f>
        <v>13359.375</v>
      </c>
      <c r="E55" s="0" t="n">
        <f aca="false">Assumptions!$B$9*E46+(1-Assumptions!$B$9)*IF(E40-$Q$39&gt;=1,INDEX($C46:$N46,E40-$Q$39),0)</f>
        <v>42482.8125</v>
      </c>
      <c r="F55" s="0" t="n">
        <f aca="false">Assumptions!$B$9*F46+(1-Assumptions!$B$9)*IF(F40-$Q$39&gt;=1,INDEX($C46:$N46,F40-$Q$39),0)</f>
        <v>76415.625</v>
      </c>
      <c r="G55" s="0" t="n">
        <f aca="false">Assumptions!$B$9*G46+(1-Assumptions!$B$9)*IF(G40-$Q$39&gt;=1,INDEX($C46:$N46,G40-$Q$39),0)</f>
        <v>101798.4375</v>
      </c>
      <c r="H55" s="0" t="n">
        <f aca="false">Assumptions!$B$9*H46+(1-Assumptions!$B$9)*IF(H40-$Q$39&gt;=1,INDEX($C46:$N46,H40-$Q$39),0)</f>
        <v>129585.9375</v>
      </c>
      <c r="I55" s="0" t="n">
        <f aca="false">Assumptions!$B$9*I46+(1-Assumptions!$B$9)*IF(I40-$Q$39&gt;=1,INDEX($C46:$N46,I40-$Q$39),0)</f>
        <v>159778.125</v>
      </c>
      <c r="J55" s="0" t="n">
        <f aca="false">Assumptions!$B$9*J46+(1-Assumptions!$B$9)*IF(J40-$Q$39&gt;=1,INDEX($C46:$N46,J40-$Q$39),0)</f>
        <v>192375</v>
      </c>
      <c r="K55" s="0" t="n">
        <f aca="false">Assumptions!$B$9*K46+(1-Assumptions!$B$9)*IF(K40-$Q$39&gt;=1,INDEX($C46:$N46,K40-$Q$39),0)</f>
        <v>227376.5625</v>
      </c>
      <c r="L55" s="0" t="n">
        <f aca="false">Assumptions!$B$9*L46+(1-Assumptions!$B$9)*IF(L40-$Q$39&gt;=1,INDEX($C46:$N46,L40-$Q$39),0)</f>
        <v>251423.4375</v>
      </c>
      <c r="M55" s="0" t="n">
        <f aca="false">Assumptions!$B$9*M46+(1-Assumptions!$B$9)*IF(M40-$Q$39&gt;=1,INDEX($C46:$N46,M40-$Q$39),0)</f>
        <v>288829.6875</v>
      </c>
      <c r="N55" s="0" t="n">
        <f aca="false">Assumptions!$B$9*N46+(1-Assumptions!$B$9)*IF(N40-$Q$39&gt;=1,INDEX($C46:$N46,N40-$Q$39),0)</f>
        <v>328640.625</v>
      </c>
      <c r="O55" s="0" t="n">
        <f aca="false">SUM(C55:N55)</f>
        <v>1812065.625</v>
      </c>
    </row>
    <row r="56" customFormat="false" ht="15" hidden="false" customHeight="false" outlineLevel="0" collapsed="false">
      <c r="A56" s="0" t="s">
        <v>230</v>
      </c>
      <c r="C56" s="0" t="n">
        <f aca="false">C47+C48+C50+C51+C53</f>
        <v>32500</v>
      </c>
      <c r="D56" s="0" t="n">
        <f aca="false">D47+D48+D50+D51+D53</f>
        <v>53800.88</v>
      </c>
      <c r="E56" s="0" t="n">
        <f aca="false">E47+E48+E50+E51+E53</f>
        <v>78935.9184</v>
      </c>
      <c r="F56" s="0" t="n">
        <f aca="false">F47+F48+F50+F51+F53</f>
        <v>107905.1152</v>
      </c>
      <c r="G56" s="0" t="n">
        <f aca="false">G47+G48+G50+G51+G53</f>
        <v>119407.5904</v>
      </c>
      <c r="H56" s="0" t="n">
        <f aca="false">H47+H48+H50+H51+H53</f>
        <v>152210.9456</v>
      </c>
      <c r="I56" s="0" t="n">
        <f aca="false">I47+I48+I50+I51+I53</f>
        <v>182547.5792</v>
      </c>
      <c r="J56" s="0" t="n">
        <f aca="false">J47+J48+J50+J51+J53</f>
        <v>219185.0928</v>
      </c>
      <c r="K56" s="0" t="n">
        <f aca="false">K47+K48+K50+K51+K53</f>
        <v>238355.8848</v>
      </c>
      <c r="L56" s="0" t="n">
        <f aca="false">L47+L48+L50+L51+L53</f>
        <v>257526.6768</v>
      </c>
      <c r="M56" s="0" t="n">
        <f aca="false">M47+M48+M50+M51+M53</f>
        <v>297998.3488</v>
      </c>
      <c r="N56" s="0" t="n">
        <f aca="false">N47+N48+N50+N51+N53</f>
        <v>321003.2992</v>
      </c>
      <c r="O56" s="0" t="n">
        <f aca="false">SUM(C56:N56)</f>
        <v>2061377.3312</v>
      </c>
    </row>
    <row r="57" customFormat="false" ht="15" hidden="false" customHeight="false" outlineLevel="0" collapsed="false">
      <c r="A57" s="0" t="s">
        <v>231</v>
      </c>
      <c r="C57" s="0" t="n">
        <f aca="false">C55-C56</f>
        <v>-32500</v>
      </c>
      <c r="D57" s="0" t="n">
        <f aca="false">D55-D56</f>
        <v>-40441.505</v>
      </c>
      <c r="E57" s="0" t="n">
        <f aca="false">E55-E56</f>
        <v>-36453.1059</v>
      </c>
      <c r="F57" s="0" t="n">
        <f aca="false">F55-F56</f>
        <v>-31489.4902</v>
      </c>
      <c r="G57" s="0" t="n">
        <f aca="false">G55-G56</f>
        <v>-17609.1529</v>
      </c>
      <c r="H57" s="0" t="n">
        <f aca="false">H55-H56</f>
        <v>-22625.0081</v>
      </c>
      <c r="I57" s="0" t="n">
        <f aca="false">I55-I56</f>
        <v>-22769.4542</v>
      </c>
      <c r="J57" s="0" t="n">
        <f aca="false">J55-J56</f>
        <v>-26810.0928</v>
      </c>
      <c r="K57" s="0" t="n">
        <f aca="false">K55-K56</f>
        <v>-10979.3223000001</v>
      </c>
      <c r="L57" s="0" t="n">
        <f aca="false">L55-L56</f>
        <v>-6103.23930000002</v>
      </c>
      <c r="M57" s="0" t="n">
        <f aca="false">M55-M56</f>
        <v>-9168.66130000004</v>
      </c>
      <c r="N57" s="0" t="n">
        <f aca="false">N55-N56</f>
        <v>7637.32579999999</v>
      </c>
      <c r="O57" s="0" t="n">
        <f aca="false">SUM(C57:N57)</f>
        <v>-249311.7062</v>
      </c>
    </row>
    <row r="58" customFormat="false" ht="15" hidden="false" customHeight="false" outlineLevel="0" collapsed="false">
      <c r="A58" s="0" t="s">
        <v>232</v>
      </c>
      <c r="C58" s="0" t="n">
        <f aca="false">Capital_Allocation!$C$20+C57</f>
        <v>202500</v>
      </c>
      <c r="D58" s="0" t="n">
        <f aca="false">C58+D57</f>
        <v>162058.495</v>
      </c>
      <c r="E58" s="0" t="n">
        <f aca="false">D58+E57</f>
        <v>125605.3891</v>
      </c>
      <c r="F58" s="0" t="n">
        <f aca="false">E58+F57</f>
        <v>94115.8989</v>
      </c>
      <c r="G58" s="0" t="n">
        <f aca="false">F58+G57</f>
        <v>76506.746</v>
      </c>
      <c r="H58" s="0" t="n">
        <f aca="false">G58+H57</f>
        <v>53881.7379</v>
      </c>
      <c r="I58" s="0" t="n">
        <f aca="false">H58+I57</f>
        <v>31112.2836999999</v>
      </c>
      <c r="J58" s="0" t="n">
        <f aca="false">I58+J57</f>
        <v>4302.19089999993</v>
      </c>
      <c r="K58" s="0" t="n">
        <f aca="false">J58+K57</f>
        <v>-6677.13140000013</v>
      </c>
      <c r="L58" s="0" t="n">
        <f aca="false">K58+L57</f>
        <v>-12780.3707000001</v>
      </c>
      <c r="M58" s="0" t="n">
        <f aca="false">L58+M57</f>
        <v>-21949.0320000002</v>
      </c>
      <c r="N58" s="0" t="n">
        <f aca="false">M58+N57</f>
        <v>-14311.7062000002</v>
      </c>
    </row>
    <row r="59" customFormat="false" ht="15" hidden="false" customHeight="false" outlineLevel="0" collapsed="false">
      <c r="A59" s="0" t="s">
        <v>233</v>
      </c>
      <c r="C59" s="0" t="n">
        <f aca="false">SUM($C46:C46)-SUM($C55:C55)</f>
        <v>0</v>
      </c>
      <c r="D59" s="0" t="n">
        <f aca="false">SUM($C46:D46)-SUM($C55:D55)</f>
        <v>13359.375</v>
      </c>
      <c r="E59" s="0" t="n">
        <f aca="false">SUM($C46:E46)-SUM($C55:E55)</f>
        <v>29123.4375</v>
      </c>
      <c r="F59" s="0" t="n">
        <f aca="false">SUM($C46:F46)-SUM($C55:F55)</f>
        <v>47292.1875</v>
      </c>
      <c r="G59" s="0" t="n">
        <f aca="false">SUM($C46:G46)-SUM($C55:G55)</f>
        <v>54506.25</v>
      </c>
      <c r="H59" s="0" t="n">
        <f aca="false">SUM($C46:H46)-SUM($C55:H55)</f>
        <v>75079.6875</v>
      </c>
      <c r="I59" s="0" t="n">
        <f aca="false">SUM($C46:I46)-SUM($C55:I55)</f>
        <v>84698.4375</v>
      </c>
      <c r="J59" s="0" t="n">
        <f aca="false">SUM($C46:J46)-SUM($C55:J55)</f>
        <v>107676.5625</v>
      </c>
      <c r="K59" s="0" t="n">
        <f aca="false">SUM($C46:K46)-SUM($C55:K55)</f>
        <v>119700</v>
      </c>
      <c r="L59" s="0" t="n">
        <f aca="false">SUM($C46:L46)-SUM($C55:L55)</f>
        <v>131723.4375</v>
      </c>
      <c r="M59" s="0" t="n">
        <f aca="false">SUM($C46:M46)-SUM($C55:M55)</f>
        <v>157106.25</v>
      </c>
      <c r="N59" s="0" t="n">
        <f aca="false">SUM($C46:N46)-SUM($C55:N55)</f>
        <v>171534.375</v>
      </c>
    </row>
    <row r="60" customFormat="false" ht="15" hidden="false" customHeight="false" outlineLevel="0" collapsed="false">
      <c r="A60" s="0" t="s">
        <v>234</v>
      </c>
      <c r="C60" s="0" t="n">
        <f aca="false">SUM($C54:C54)</f>
        <v>-32500</v>
      </c>
      <c r="D60" s="0" t="n">
        <f aca="false">SUM($C54:D54)</f>
        <v>-59582.13</v>
      </c>
      <c r="E60" s="0" t="n">
        <f aca="false">SUM($C54:E54)</f>
        <v>-80271.1734</v>
      </c>
      <c r="F60" s="0" t="n">
        <f aca="false">SUM($C54:F54)</f>
        <v>-93591.9136</v>
      </c>
      <c r="G60" s="0" t="n">
        <f aca="false">SUM($C54:G54)</f>
        <v>-103987.004</v>
      </c>
      <c r="H60" s="0" t="n">
        <f aca="false">SUM($C54:H54)</f>
        <v>-106038.5746</v>
      </c>
      <c r="I60" s="0" t="n">
        <f aca="false">SUM($C54:I54)</f>
        <v>-119189.2788</v>
      </c>
      <c r="J60" s="0" t="n">
        <f aca="false">SUM($C54:J54)</f>
        <v>-123021.2466</v>
      </c>
      <c r="K60" s="0" t="n">
        <f aca="false">SUM($C54:K54)</f>
        <v>-121977.1314</v>
      </c>
      <c r="L60" s="0" t="n">
        <f aca="false">SUM($C54:L54)</f>
        <v>-116056.9332</v>
      </c>
      <c r="M60" s="0" t="n">
        <f aca="false">SUM($C54:M54)</f>
        <v>-99842.7820000001</v>
      </c>
      <c r="N60" s="0" t="n">
        <f aca="false">SUM($C54:N54)</f>
        <v>-77777.3312000001</v>
      </c>
    </row>
    <row r="61" customFormat="false" ht="15" hidden="false" customHeight="false" outlineLevel="0" collapsed="false">
      <c r="A61" s="0" t="s">
        <v>235</v>
      </c>
      <c r="C61" s="0" t="n">
        <f aca="false">IF(C54&gt;=0,C40,99)</f>
        <v>99</v>
      </c>
      <c r="D61" s="0" t="n">
        <f aca="false">IF(D54&gt;=0,D40,99)</f>
        <v>99</v>
      </c>
      <c r="E61" s="0" t="n">
        <f aca="false">IF(E54&gt;=0,E40,99)</f>
        <v>99</v>
      </c>
      <c r="F61" s="0" t="n">
        <f aca="false">IF(F54&gt;=0,F40,99)</f>
        <v>99</v>
      </c>
      <c r="G61" s="0" t="n">
        <f aca="false">IF(G54&gt;=0,G40,99)</f>
        <v>99</v>
      </c>
      <c r="H61" s="0" t="n">
        <f aca="false">IF(H54&gt;=0,H40,99)</f>
        <v>99</v>
      </c>
      <c r="I61" s="0" t="n">
        <f aca="false">IF(I54&gt;=0,I40,99)</f>
        <v>99</v>
      </c>
      <c r="J61" s="0" t="n">
        <f aca="false">IF(J54&gt;=0,J40,99)</f>
        <v>99</v>
      </c>
      <c r="K61" s="0" t="n">
        <f aca="false">IF(K54&gt;=0,K40,99)</f>
        <v>9</v>
      </c>
      <c r="L61" s="0" t="n">
        <f aca="false">IF(L54&gt;=0,L40,99)</f>
        <v>10</v>
      </c>
      <c r="M61" s="0" t="n">
        <f aca="false">IF(M54&gt;=0,M40,99)</f>
        <v>11</v>
      </c>
      <c r="N61" s="0" t="n">
        <f aca="false">IF(N54&gt;=0,N40,99)</f>
        <v>12</v>
      </c>
    </row>
    <row r="62" customFormat="false" ht="15" hidden="false" customHeight="false" outlineLevel="0" collapsed="false">
      <c r="A62" s="0" t="s">
        <v>236</v>
      </c>
      <c r="C62" s="0" t="n">
        <f aca="false">IF(C52&gt;=0,C40,99)</f>
        <v>99</v>
      </c>
      <c r="D62" s="0" t="n">
        <f aca="false">IF(D52&gt;=0,D40,99)</f>
        <v>99</v>
      </c>
      <c r="E62" s="0" t="n">
        <f aca="false">IF(E52&gt;=0,E40,99)</f>
        <v>99</v>
      </c>
      <c r="F62" s="0" t="n">
        <f aca="false">IF(F52&gt;=0,F40,99)</f>
        <v>99</v>
      </c>
      <c r="G62" s="0" t="n">
        <f aca="false">IF(G52&gt;=0,G40,99)</f>
        <v>99</v>
      </c>
      <c r="H62" s="0" t="n">
        <f aca="false">IF(H52&gt;=0,H40,99)</f>
        <v>99</v>
      </c>
      <c r="I62" s="0" t="n">
        <f aca="false">IF(I52&gt;=0,I40,99)</f>
        <v>7</v>
      </c>
      <c r="J62" s="0" t="n">
        <f aca="false">IF(J52&gt;=0,J40,99)</f>
        <v>8</v>
      </c>
      <c r="K62" s="0" t="n">
        <f aca="false">IF(K52&gt;=0,K40,99)</f>
        <v>9</v>
      </c>
      <c r="L62" s="0" t="n">
        <f aca="false">IF(L52&gt;=0,L40,99)</f>
        <v>10</v>
      </c>
      <c r="M62" s="0" t="n">
        <f aca="false">IF(M52&gt;=0,M40,99)</f>
        <v>11</v>
      </c>
      <c r="N62" s="0" t="n">
        <f aca="false">IF(N52&gt;=0,N40,99)</f>
        <v>12</v>
      </c>
    </row>
    <row r="63" customFormat="false" ht="15" hidden="false" customHeight="false" outlineLevel="0" collapsed="false">
      <c r="A63" s="5" t="s">
        <v>237</v>
      </c>
      <c r="B63" s="3" t="n">
        <f aca="false">O46</f>
        <v>1983600</v>
      </c>
    </row>
    <row r="64" customFormat="false" ht="15" hidden="false" customHeight="false" outlineLevel="0" collapsed="false">
      <c r="A64" s="5" t="s">
        <v>238</v>
      </c>
      <c r="B64" s="3" t="n">
        <f aca="false">O49</f>
        <v>402222.6688</v>
      </c>
    </row>
    <row r="65" customFormat="false" ht="15" hidden="false" customHeight="false" outlineLevel="0" collapsed="false">
      <c r="A65" s="5" t="s">
        <v>239</v>
      </c>
      <c r="B65" s="3" t="n">
        <f aca="false">O54</f>
        <v>-77777.3312000001</v>
      </c>
    </row>
    <row r="66" customFormat="false" ht="15" hidden="false" customHeight="false" outlineLevel="0" collapsed="false">
      <c r="A66" s="5" t="s">
        <v>240</v>
      </c>
      <c r="B66" s="3" t="n">
        <f aca="false">MIN(C58:N58)</f>
        <v>-21949.0320000002</v>
      </c>
    </row>
    <row r="67" customFormat="false" ht="15" hidden="false" customHeight="false" outlineLevel="0" collapsed="false">
      <c r="A67" s="5" t="s">
        <v>241</v>
      </c>
      <c r="B67" s="3" t="n">
        <f aca="false">N58</f>
        <v>-14311.7062000002</v>
      </c>
    </row>
    <row r="68" customFormat="false" ht="15" hidden="false" customHeight="false" outlineLevel="0" collapsed="false">
      <c r="A68" s="5" t="s">
        <v>242</v>
      </c>
      <c r="B68" s="0" t="str">
        <f aca="false">IF(B66&gt;=0,"YES","NO")</f>
        <v>NO</v>
      </c>
    </row>
    <row r="69" customFormat="false" ht="15" hidden="false" customHeight="false" outlineLevel="0" collapsed="false">
      <c r="A69" s="5" t="s">
        <v>243</v>
      </c>
      <c r="B69" s="0" t="str">
        <f aca="false">IF(B66&gt;=Capital_Allocation!$C$16,"YES","NO")</f>
        <v>NO</v>
      </c>
    </row>
    <row r="70" customFormat="false" ht="15" hidden="false" customHeight="false" outlineLevel="0" collapsed="false">
      <c r="A70" s="5" t="s">
        <v>244</v>
      </c>
      <c r="B70" s="3" t="n">
        <f aca="false">IF(MIN(C62:N62)=99,"none in 12 mo",MIN(C62:N62))</f>
        <v>7</v>
      </c>
    </row>
    <row r="71" customFormat="false" ht="15" hidden="false" customHeight="false" outlineLevel="0" collapsed="false">
      <c r="A71" s="5" t="s">
        <v>245</v>
      </c>
      <c r="B71" s="3" t="n">
        <f aca="false">N54</f>
        <v>22065.4508</v>
      </c>
    </row>
    <row r="72" customFormat="false" ht="15" hidden="false" customHeight="false" outlineLevel="0" collapsed="false">
      <c r="A72" s="5" t="s">
        <v>246</v>
      </c>
      <c r="B72" s="3" t="n">
        <f aca="false">N59</f>
        <v>171534.375</v>
      </c>
    </row>
    <row r="73" customFormat="false" ht="15" hidden="false" customHeight="false" outlineLevel="0" collapsed="false">
      <c r="A73" s="5" t="s">
        <v>247</v>
      </c>
      <c r="B73" s="3" t="n">
        <f aca="false">IF(MIN(C61:N61)=99,"none in 12 mo",MIN(C61:N61))</f>
        <v>9</v>
      </c>
    </row>
    <row r="77" customFormat="false" ht="15" hidden="false" customHeight="false" outlineLevel="0" collapsed="false">
      <c r="A77" s="5" t="s">
        <v>249</v>
      </c>
      <c r="P77" s="3" t="s">
        <v>214</v>
      </c>
      <c r="Q77" s="3" t="n">
        <f aca="false">MAX(1,ROUNDUP((Assumptions!$B$10+Scenario_Inputs!$F$11)/30,0))</f>
        <v>1</v>
      </c>
    </row>
    <row r="78" customFormat="false" ht="15" hidden="false" customHeight="false" outlineLevel="0" collapsed="false">
      <c r="A78" s="0" t="s">
        <v>66</v>
      </c>
      <c r="C78" s="0" t="n">
        <v>1</v>
      </c>
      <c r="D78" s="0" t="n">
        <v>2</v>
      </c>
      <c r="E78" s="0" t="n">
        <v>3</v>
      </c>
      <c r="F78" s="0" t="n">
        <v>4</v>
      </c>
      <c r="G78" s="0" t="n">
        <v>5</v>
      </c>
      <c r="H78" s="0" t="n">
        <v>6</v>
      </c>
      <c r="I78" s="0" t="n">
        <v>7</v>
      </c>
      <c r="J78" s="0" t="n">
        <v>8</v>
      </c>
      <c r="K78" s="0" t="n">
        <v>9</v>
      </c>
      <c r="L78" s="0" t="n">
        <v>10</v>
      </c>
      <c r="M78" s="0" t="n">
        <v>11</v>
      </c>
      <c r="N78" s="0" t="n">
        <v>12</v>
      </c>
      <c r="O78" s="5" t="s">
        <v>215</v>
      </c>
    </row>
    <row r="79" customFormat="false" ht="15" hidden="false" customHeight="false" outlineLevel="0" collapsed="false">
      <c r="A79" s="0" t="s">
        <v>216</v>
      </c>
      <c r="C79" s="0" t="n">
        <f aca="false">Assumptions!B$33*Scenario_Inputs!$D$11</f>
        <v>0</v>
      </c>
      <c r="D79" s="0" t="n">
        <f aca="false">Assumptions!C$33*Scenario_Inputs!$D$11</f>
        <v>1.4</v>
      </c>
      <c r="E79" s="0" t="n">
        <f aca="false">Assumptions!D$33*Scenario_Inputs!$D$11</f>
        <v>2.8</v>
      </c>
      <c r="F79" s="0" t="n">
        <f aca="false">Assumptions!E$33*Scenario_Inputs!$D$11</f>
        <v>4.2</v>
      </c>
      <c r="G79" s="0" t="n">
        <f aca="false">Assumptions!F$33*Scenario_Inputs!$D$11</f>
        <v>4.2</v>
      </c>
      <c r="H79" s="0" t="n">
        <f aca="false">Assumptions!G$33*Scenario_Inputs!$D$11</f>
        <v>5.6</v>
      </c>
      <c r="I79" s="0" t="n">
        <f aca="false">Assumptions!H$33*Scenario_Inputs!$D$11</f>
        <v>5.6</v>
      </c>
      <c r="J79" s="0" t="n">
        <f aca="false">Assumptions!I$33*Scenario_Inputs!$D$11</f>
        <v>7</v>
      </c>
      <c r="K79" s="0" t="n">
        <f aca="false">Assumptions!J$33*Scenario_Inputs!$D$11</f>
        <v>7</v>
      </c>
      <c r="L79" s="0" t="n">
        <f aca="false">Assumptions!K$33*Scenario_Inputs!$D$11</f>
        <v>7</v>
      </c>
      <c r="M79" s="0" t="n">
        <f aca="false">Assumptions!L$33*Scenario_Inputs!$D$11</f>
        <v>8.4</v>
      </c>
      <c r="N79" s="0" t="n">
        <f aca="false">Assumptions!M$33*Scenario_Inputs!$D$11</f>
        <v>8.4</v>
      </c>
      <c r="O79" s="0" t="n">
        <f aca="false">SUM(C79:N79)</f>
        <v>61.6</v>
      </c>
    </row>
    <row r="80" customFormat="false" ht="15" hidden="false" customHeight="false" outlineLevel="0" collapsed="false">
      <c r="A80" s="0" t="s">
        <v>217</v>
      </c>
      <c r="C80" s="0" t="n">
        <v>0</v>
      </c>
      <c r="D80" s="0" t="n">
        <f aca="false">SUM($C79:C79)</f>
        <v>0</v>
      </c>
      <c r="E80" s="0" t="n">
        <f aca="false">SUM($C79:D79)</f>
        <v>1.4</v>
      </c>
      <c r="F80" s="0" t="n">
        <f aca="false">SUM($C79:E79)</f>
        <v>4.2</v>
      </c>
      <c r="G80" s="0" t="n">
        <f aca="false">SUM($C79:F79)</f>
        <v>8.4</v>
      </c>
      <c r="H80" s="0" t="n">
        <f aca="false">SUM($C79:G79)</f>
        <v>12.6</v>
      </c>
      <c r="I80" s="0" t="n">
        <f aca="false">SUM($C79:H79)</f>
        <v>18.2</v>
      </c>
      <c r="J80" s="0" t="n">
        <f aca="false">SUM($C79:I79)</f>
        <v>23.8</v>
      </c>
      <c r="K80" s="0" t="n">
        <f aca="false">SUM($C79:J79)</f>
        <v>30.8</v>
      </c>
      <c r="L80" s="0" t="n">
        <f aca="false">SUM($C79:K79)</f>
        <v>37.8</v>
      </c>
      <c r="M80" s="0" t="n">
        <f aca="false">SUM($C79:L79)</f>
        <v>44.8</v>
      </c>
      <c r="N80" s="0" t="n">
        <f aca="false">SUM($C79:M79)</f>
        <v>53.2</v>
      </c>
    </row>
    <row r="81" customFormat="false" ht="15" hidden="false" customHeight="false" outlineLevel="0" collapsed="false">
      <c r="A81" s="0" t="s">
        <v>218</v>
      </c>
      <c r="C81" s="0" t="n">
        <f aca="false">C80*Assumptions!$B$11*Scenario_Inputs!$E$11</f>
        <v>0</v>
      </c>
      <c r="D81" s="0" t="n">
        <f aca="false">D80*Assumptions!$B$11*Scenario_Inputs!$E$11</f>
        <v>0</v>
      </c>
      <c r="E81" s="0" t="n">
        <f aca="false">E80*Assumptions!$B$11*Scenario_Inputs!$E$11</f>
        <v>0.3276</v>
      </c>
      <c r="F81" s="0" t="n">
        <f aca="false">F80*Assumptions!$B$11*Scenario_Inputs!$E$11</f>
        <v>0.9828</v>
      </c>
      <c r="G81" s="0" t="n">
        <f aca="false">G80*Assumptions!$B$11*Scenario_Inputs!$E$11</f>
        <v>1.9656</v>
      </c>
      <c r="H81" s="0" t="n">
        <f aca="false">H80*Assumptions!$B$11*Scenario_Inputs!$E$11</f>
        <v>2.9484</v>
      </c>
      <c r="I81" s="0" t="n">
        <f aca="false">I80*Assumptions!$B$11*Scenario_Inputs!$E$11</f>
        <v>4.2588</v>
      </c>
      <c r="J81" s="0" t="n">
        <f aca="false">J80*Assumptions!$B$11*Scenario_Inputs!$E$11</f>
        <v>5.5692</v>
      </c>
      <c r="K81" s="0" t="n">
        <f aca="false">K80*Assumptions!$B$11*Scenario_Inputs!$E$11</f>
        <v>7.2072</v>
      </c>
      <c r="L81" s="0" t="n">
        <f aca="false">L80*Assumptions!$B$11*Scenario_Inputs!$E$11</f>
        <v>8.8452</v>
      </c>
      <c r="M81" s="0" t="n">
        <f aca="false">M80*Assumptions!$B$11*Scenario_Inputs!$E$11</f>
        <v>10.4832</v>
      </c>
      <c r="N81" s="0" t="n">
        <f aca="false">N80*Assumptions!$B$11*Scenario_Inputs!$E$11</f>
        <v>12.4488</v>
      </c>
      <c r="O81" s="0" t="n">
        <f aca="false">SUM(C81:N81)</f>
        <v>55.0368</v>
      </c>
    </row>
    <row r="82" customFormat="false" ht="15" hidden="false" customHeight="false" outlineLevel="0" collapsed="false">
      <c r="A82" s="0" t="s">
        <v>219</v>
      </c>
      <c r="C82" s="0" t="n">
        <f aca="false">C79+C81</f>
        <v>0</v>
      </c>
      <c r="D82" s="0" t="n">
        <f aca="false">D79+D81</f>
        <v>1.4</v>
      </c>
      <c r="E82" s="0" t="n">
        <f aca="false">E79+E81</f>
        <v>3.1276</v>
      </c>
      <c r="F82" s="0" t="n">
        <f aca="false">F79+F81</f>
        <v>5.1828</v>
      </c>
      <c r="G82" s="0" t="n">
        <f aca="false">G79+G81</f>
        <v>6.1656</v>
      </c>
      <c r="H82" s="0" t="n">
        <f aca="false">H79+H81</f>
        <v>8.5484</v>
      </c>
      <c r="I82" s="0" t="n">
        <f aca="false">I79+I81</f>
        <v>9.8588</v>
      </c>
      <c r="J82" s="0" t="n">
        <f aca="false">J79+J81</f>
        <v>12.5692</v>
      </c>
      <c r="K82" s="0" t="n">
        <f aca="false">K79+K81</f>
        <v>14.2072</v>
      </c>
      <c r="L82" s="0" t="n">
        <f aca="false">L79+L81</f>
        <v>15.8452</v>
      </c>
      <c r="M82" s="0" t="n">
        <f aca="false">M79+M81</f>
        <v>18.8832</v>
      </c>
      <c r="N82" s="0" t="n">
        <f aca="false">N79+N81</f>
        <v>20.8488</v>
      </c>
      <c r="O82" s="0" t="n">
        <f aca="false">SUM(C82:N82)</f>
        <v>116.6368</v>
      </c>
    </row>
    <row r="83" customFormat="false" ht="15" hidden="false" customHeight="false" outlineLevel="0" collapsed="false">
      <c r="A83" s="0" t="s">
        <v>220</v>
      </c>
      <c r="C83" s="0" t="n">
        <f aca="false">C82*Assumptions!$B$5*Scenario_Inputs!G$12</f>
        <v>0</v>
      </c>
      <c r="D83" s="0" t="n">
        <f aca="false">D82*Assumptions!$B$5*Scenario_Inputs!H$12</f>
        <v>37406.25</v>
      </c>
      <c r="E83" s="0" t="n">
        <f aca="false">E82*Assumptions!$B$5*Scenario_Inputs!I$12</f>
        <v>83565.5625</v>
      </c>
      <c r="F83" s="0" t="n">
        <f aca="false">F82*Assumptions!$B$5*Scenario_Inputs!J$12</f>
        <v>138477.9375</v>
      </c>
      <c r="G83" s="0" t="n">
        <f aca="false">G82*Assumptions!$B$5*Scenario_Inputs!K$12</f>
        <v>164737.125</v>
      </c>
      <c r="H83" s="0" t="n">
        <f aca="false">H82*Assumptions!$B$5*Scenario_Inputs!L$12</f>
        <v>228402.5625</v>
      </c>
      <c r="I83" s="0" t="n">
        <f aca="false">I82*Assumptions!$B$5*Scenario_Inputs!M$12</f>
        <v>263414.8125</v>
      </c>
      <c r="J83" s="0" t="n">
        <f aca="false">J82*Assumptions!$B$5*Scenario_Inputs!N$12</f>
        <v>335833.3125</v>
      </c>
      <c r="K83" s="0" t="n">
        <f aca="false">K82*Assumptions!$B$5*Scenario_Inputs!O$12</f>
        <v>379598.625</v>
      </c>
      <c r="L83" s="0" t="n">
        <f aca="false">L82*Assumptions!$B$5*Scenario_Inputs!P$12</f>
        <v>423363.9375</v>
      </c>
      <c r="M83" s="0" t="n">
        <f aca="false">M82*Assumptions!$B$5*Scenario_Inputs!Q$12</f>
        <v>504535.5</v>
      </c>
      <c r="N83" s="0" t="n">
        <f aca="false">N82*Assumptions!$B$5*Scenario_Inputs!R$12</f>
        <v>557053.875</v>
      </c>
      <c r="O83" s="0" t="n">
        <f aca="false">SUM(C83:N83)</f>
        <v>3116389.5</v>
      </c>
    </row>
    <row r="84" customFormat="false" ht="15" hidden="false" customHeight="false" outlineLevel="0" collapsed="false">
      <c r="A84" s="0" t="s">
        <v>221</v>
      </c>
      <c r="C84" s="0" t="n">
        <f aca="false">C83*Scenario_Inputs!$B$11</f>
        <v>0</v>
      </c>
      <c r="D84" s="0" t="n">
        <f aca="false">D83*Scenario_Inputs!$B$11</f>
        <v>37406.25</v>
      </c>
      <c r="E84" s="0" t="n">
        <f aca="false">E83*Scenario_Inputs!$B$11</f>
        <v>83565.5625</v>
      </c>
      <c r="F84" s="0" t="n">
        <f aca="false">F83*Scenario_Inputs!$B$11</f>
        <v>138477.9375</v>
      </c>
      <c r="G84" s="0" t="n">
        <f aca="false">G83*Scenario_Inputs!$B$11</f>
        <v>164737.125</v>
      </c>
      <c r="H84" s="0" t="n">
        <f aca="false">H83*Scenario_Inputs!$B$11</f>
        <v>228402.5625</v>
      </c>
      <c r="I84" s="0" t="n">
        <f aca="false">I83*Scenario_Inputs!$B$11</f>
        <v>263414.8125</v>
      </c>
      <c r="J84" s="0" t="n">
        <f aca="false">J83*Scenario_Inputs!$B$11</f>
        <v>335833.3125</v>
      </c>
      <c r="K84" s="0" t="n">
        <f aca="false">K83*Scenario_Inputs!$B$11</f>
        <v>379598.625</v>
      </c>
      <c r="L84" s="0" t="n">
        <f aca="false">L83*Scenario_Inputs!$B$11</f>
        <v>423363.9375</v>
      </c>
      <c r="M84" s="0" t="n">
        <f aca="false">M83*Scenario_Inputs!$B$11</f>
        <v>504535.5</v>
      </c>
      <c r="N84" s="0" t="n">
        <f aca="false">N83*Scenario_Inputs!$B$11</f>
        <v>557053.875</v>
      </c>
      <c r="O84" s="0" t="n">
        <f aca="false">SUM(C84:N84)</f>
        <v>3116389.5</v>
      </c>
    </row>
    <row r="85" customFormat="false" ht="15" hidden="false" customHeight="false" outlineLevel="0" collapsed="false">
      <c r="A85" s="0" t="s">
        <v>222</v>
      </c>
      <c r="C85" s="0" t="n">
        <f aca="false">C83*(1-Assumptions!$B$6)*Scenario_Inputs!$C$11*(1+(1-Assumptions!$B$26)*Assumptions!$B$21*Assumptions!$B$27)</f>
        <v>0</v>
      </c>
      <c r="D85" s="0" t="n">
        <f aca="false">D83*(1-Assumptions!$B$6)*Scenario_Inputs!$C$11*(1+(1-Assumptions!$B$26)*Assumptions!$B$21*Assumptions!$B$27)</f>
        <v>26749.55129</v>
      </c>
      <c r="E85" s="0" t="n">
        <f aca="false">E83*(1-Assumptions!$B$6)*Scenario_Inputs!$C$11*(1+(1-Assumptions!$B$26)*Assumptions!$B$21*Assumptions!$B$27)</f>
        <v>59758.49758186</v>
      </c>
      <c r="F85" s="0" t="n">
        <f aca="false">F83*(1-Assumptions!$B$6)*Scenario_Inputs!$C$11*(1+(1-Assumptions!$B$26)*Assumptions!$B$21*Assumptions!$B$27)</f>
        <v>99026.83887558</v>
      </c>
      <c r="G85" s="0" t="n">
        <f aca="false">G83*(1-Assumptions!$B$6)*Scenario_Inputs!$C$11*(1+(1-Assumptions!$B$26)*Assumptions!$B$21*Assumptions!$B$27)</f>
        <v>117805.02388116</v>
      </c>
      <c r="H85" s="0" t="n">
        <f aca="false">H83*(1-Assumptions!$B$6)*Scenario_Inputs!$C$11*(1+(1-Assumptions!$B$26)*Assumptions!$B$21*Assumptions!$B$27)</f>
        <v>163332.76017674</v>
      </c>
      <c r="I85" s="0" t="n">
        <f aca="false">I83*(1-Assumptions!$B$6)*Scenario_Inputs!$C$11*(1+(1-Assumptions!$B$26)*Assumptions!$B$21*Assumptions!$B$27)</f>
        <v>188370.34018418</v>
      </c>
      <c r="J85" s="0" t="n">
        <f aca="false">J83*(1-Assumptions!$B$6)*Scenario_Inputs!$C$11*(1+(1-Assumptions!$B$26)*Assumptions!$B$21*Assumptions!$B$27)</f>
        <v>240157.47148162</v>
      </c>
      <c r="K85" s="0" t="n">
        <f aca="false">K83*(1-Assumptions!$B$6)*Scenario_Inputs!$C$11*(1+(1-Assumptions!$B$26)*Assumptions!$B$21*Assumptions!$B$27)</f>
        <v>271454.44649092</v>
      </c>
      <c r="L85" s="0" t="n">
        <f aca="false">L83*(1-Assumptions!$B$6)*Scenario_Inputs!$C$11*(1+(1-Assumptions!$B$26)*Assumptions!$B$21*Assumptions!$B$27)</f>
        <v>302751.42150022</v>
      </c>
      <c r="M85" s="0" t="n">
        <f aca="false">M83*(1-Assumptions!$B$6)*Scenario_Inputs!$C$11*(1+(1-Assumptions!$B$26)*Assumptions!$B$21*Assumptions!$B$27)</f>
        <v>360797.94779952</v>
      </c>
      <c r="N85" s="0" t="n">
        <f aca="false">N83*(1-Assumptions!$B$6)*Scenario_Inputs!$C$11*(1+(1-Assumptions!$B$26)*Assumptions!$B$21*Assumptions!$B$27)</f>
        <v>398354.31781068</v>
      </c>
      <c r="O85" s="0" t="n">
        <f aca="false">SUM(C85:N85)</f>
        <v>2228558.61707248</v>
      </c>
    </row>
    <row r="86" customFormat="false" ht="15" hidden="false" customHeight="false" outlineLevel="0" collapsed="false">
      <c r="A86" s="0" t="s">
        <v>223</v>
      </c>
      <c r="C86" s="0" t="n">
        <f aca="false">C84*(Assumptions!$B$7+Assumptions!$B$8)</f>
        <v>0</v>
      </c>
      <c r="D86" s="0" t="n">
        <f aca="false">D84*(Assumptions!$B$7+Assumptions!$B$8)</f>
        <v>2244.375</v>
      </c>
      <c r="E86" s="0" t="n">
        <f aca="false">E84*(Assumptions!$B$7+Assumptions!$B$8)</f>
        <v>5013.93375</v>
      </c>
      <c r="F86" s="0" t="n">
        <f aca="false">F84*(Assumptions!$B$7+Assumptions!$B$8)</f>
        <v>8308.67625</v>
      </c>
      <c r="G86" s="0" t="n">
        <f aca="false">G84*(Assumptions!$B$7+Assumptions!$B$8)</f>
        <v>9884.2275</v>
      </c>
      <c r="H86" s="0" t="n">
        <f aca="false">H84*(Assumptions!$B$7+Assumptions!$B$8)</f>
        <v>13704.15375</v>
      </c>
      <c r="I86" s="0" t="n">
        <f aca="false">I84*(Assumptions!$B$7+Assumptions!$B$8)</f>
        <v>15804.88875</v>
      </c>
      <c r="J86" s="0" t="n">
        <f aca="false">J84*(Assumptions!$B$7+Assumptions!$B$8)</f>
        <v>20149.99875</v>
      </c>
      <c r="K86" s="0" t="n">
        <f aca="false">K84*(Assumptions!$B$7+Assumptions!$B$8)</f>
        <v>22775.9175</v>
      </c>
      <c r="L86" s="0" t="n">
        <f aca="false">L84*(Assumptions!$B$7+Assumptions!$B$8)</f>
        <v>25401.83625</v>
      </c>
      <c r="M86" s="0" t="n">
        <f aca="false">M84*(Assumptions!$B$7+Assumptions!$B$8)</f>
        <v>30272.13</v>
      </c>
      <c r="N86" s="0" t="n">
        <f aca="false">N84*(Assumptions!$B$7+Assumptions!$B$8)</f>
        <v>33423.2325</v>
      </c>
      <c r="O86" s="0" t="n">
        <f aca="false">SUM(C86:N86)</f>
        <v>186983.37</v>
      </c>
    </row>
    <row r="87" customFormat="false" ht="15" hidden="false" customHeight="false" outlineLevel="0" collapsed="false">
      <c r="A87" s="0" t="s">
        <v>198</v>
      </c>
      <c r="C87" s="0" t="n">
        <f aca="false">C84-C85-C86</f>
        <v>0</v>
      </c>
      <c r="D87" s="0" t="n">
        <f aca="false">D84-D85-D86</f>
        <v>8412.32371</v>
      </c>
      <c r="E87" s="0" t="n">
        <f aca="false">E84-E85-E86</f>
        <v>18793.13116814</v>
      </c>
      <c r="F87" s="0" t="n">
        <f aca="false">F84-F85-F86</f>
        <v>31142.42237442</v>
      </c>
      <c r="G87" s="0" t="n">
        <f aca="false">G84-G85-G86</f>
        <v>37047.87361884</v>
      </c>
      <c r="H87" s="0" t="n">
        <f aca="false">H84-H85-H86</f>
        <v>51365.64857326</v>
      </c>
      <c r="I87" s="0" t="n">
        <f aca="false">I84-I85-I86</f>
        <v>59239.58356582</v>
      </c>
      <c r="J87" s="0" t="n">
        <f aca="false">J84-J85-J86</f>
        <v>75525.84226838</v>
      </c>
      <c r="K87" s="0" t="n">
        <f aca="false">K84-K85-K86</f>
        <v>85368.26100908</v>
      </c>
      <c r="L87" s="0" t="n">
        <f aca="false">L84-L85-L86</f>
        <v>95210.67974978</v>
      </c>
      <c r="M87" s="0" t="n">
        <f aca="false">M84-M85-M86</f>
        <v>113465.42220048</v>
      </c>
      <c r="N87" s="0" t="n">
        <f aca="false">N84-N85-N86</f>
        <v>125276.32468932</v>
      </c>
      <c r="O87" s="0" t="n">
        <f aca="false">SUM(C87:N87)</f>
        <v>700847.51292752</v>
      </c>
    </row>
    <row r="88" customFormat="false" ht="15" hidden="false" customHeight="false" outlineLevel="0" collapsed="false">
      <c r="A88" s="0" t="s">
        <v>224</v>
      </c>
      <c r="C88" s="0" t="n">
        <f aca="false">Assumptions!$B$29</f>
        <v>32500</v>
      </c>
      <c r="D88" s="0" t="n">
        <f aca="false">Assumptions!$B$29</f>
        <v>32500</v>
      </c>
      <c r="E88" s="0" t="n">
        <f aca="false">Assumptions!$B$29</f>
        <v>32500</v>
      </c>
      <c r="F88" s="0" t="n">
        <f aca="false">Assumptions!$B$29</f>
        <v>32500</v>
      </c>
      <c r="G88" s="0" t="n">
        <f aca="false">Assumptions!$B$29</f>
        <v>32500</v>
      </c>
      <c r="H88" s="0" t="n">
        <f aca="false">Assumptions!$B$29</f>
        <v>32500</v>
      </c>
      <c r="I88" s="0" t="n">
        <f aca="false">Assumptions!$B$29</f>
        <v>32500</v>
      </c>
      <c r="J88" s="0" t="n">
        <f aca="false">Assumptions!$B$29</f>
        <v>32500</v>
      </c>
      <c r="K88" s="0" t="n">
        <f aca="false">Assumptions!$B$29</f>
        <v>32500</v>
      </c>
      <c r="L88" s="0" t="n">
        <f aca="false">Assumptions!$B$29</f>
        <v>32500</v>
      </c>
      <c r="M88" s="0" t="n">
        <f aca="false">Assumptions!$B$29</f>
        <v>32500</v>
      </c>
      <c r="N88" s="0" t="n">
        <f aca="false">Assumptions!$B$29</f>
        <v>32500</v>
      </c>
      <c r="O88" s="0" t="n">
        <f aca="false">SUM(C88:N88)</f>
        <v>390000</v>
      </c>
    </row>
    <row r="89" customFormat="false" ht="15" hidden="false" customHeight="false" outlineLevel="0" collapsed="false">
      <c r="A89" s="0" t="s">
        <v>225</v>
      </c>
      <c r="C89" s="0" t="n">
        <f aca="false">Scenario_Inputs!G$13</f>
        <v>0</v>
      </c>
      <c r="D89" s="0" t="n">
        <f aca="false">Scenario_Inputs!H$13</f>
        <v>0</v>
      </c>
      <c r="E89" s="0" t="n">
        <f aca="false">Scenario_Inputs!I$13</f>
        <v>0</v>
      </c>
      <c r="F89" s="0" t="n">
        <f aca="false">Scenario_Inputs!J$13</f>
        <v>0</v>
      </c>
      <c r="G89" s="0" t="n">
        <f aca="false">Scenario_Inputs!K$13</f>
        <v>0</v>
      </c>
      <c r="H89" s="0" t="n">
        <f aca="false">Scenario_Inputs!L$13</f>
        <v>0</v>
      </c>
      <c r="I89" s="0" t="n">
        <f aca="false">Scenario_Inputs!M$13</f>
        <v>0</v>
      </c>
      <c r="J89" s="0" t="n">
        <f aca="false">Scenario_Inputs!N$13</f>
        <v>0</v>
      </c>
      <c r="K89" s="0" t="n">
        <f aca="false">Scenario_Inputs!O$13</f>
        <v>0</v>
      </c>
      <c r="L89" s="0" t="n">
        <f aca="false">Scenario_Inputs!P$13</f>
        <v>0</v>
      </c>
      <c r="M89" s="0" t="n">
        <f aca="false">Scenario_Inputs!Q$13</f>
        <v>0</v>
      </c>
      <c r="N89" s="0" t="n">
        <f aca="false">Scenario_Inputs!R$13</f>
        <v>0</v>
      </c>
      <c r="O89" s="0" t="n">
        <f aca="false">SUM(C89:N89)</f>
        <v>0</v>
      </c>
    </row>
    <row r="90" customFormat="false" ht="15" hidden="false" customHeight="false" outlineLevel="0" collapsed="false">
      <c r="A90" s="0" t="s">
        <v>226</v>
      </c>
      <c r="C90" s="0" t="n">
        <f aca="false">C87-C88-C89</f>
        <v>-32500</v>
      </c>
      <c r="D90" s="0" t="n">
        <f aca="false">D87-D88-D89</f>
        <v>-24087.67629</v>
      </c>
      <c r="E90" s="0" t="n">
        <f aca="false">E87-E88-E89</f>
        <v>-13706.86883186</v>
      </c>
      <c r="F90" s="0" t="n">
        <f aca="false">F87-F88-F89</f>
        <v>-1357.57762558001</v>
      </c>
      <c r="G90" s="0" t="n">
        <f aca="false">G87-G88-G89</f>
        <v>4547.87361883999</v>
      </c>
      <c r="H90" s="0" t="n">
        <f aca="false">H87-H88-H89</f>
        <v>18865.64857326</v>
      </c>
      <c r="I90" s="0" t="n">
        <f aca="false">I87-I88-I89</f>
        <v>26739.58356582</v>
      </c>
      <c r="J90" s="0" t="n">
        <f aca="false">J87-J88-J89</f>
        <v>43025.84226838</v>
      </c>
      <c r="K90" s="0" t="n">
        <f aca="false">K87-K88-K89</f>
        <v>52868.26100908</v>
      </c>
      <c r="L90" s="0" t="n">
        <f aca="false">L87-L88-L89</f>
        <v>62710.67974978</v>
      </c>
      <c r="M90" s="0" t="n">
        <f aca="false">M87-M88-M89</f>
        <v>80965.42220048</v>
      </c>
      <c r="N90" s="0" t="n">
        <f aca="false">N87-N88-N89</f>
        <v>92776.32468932</v>
      </c>
      <c r="O90" s="0" t="n">
        <f aca="false">SUM(C90:N90)</f>
        <v>310847.51292752</v>
      </c>
    </row>
    <row r="91" customFormat="false" ht="15" hidden="false" customHeight="false" outlineLevel="0" collapsed="false">
      <c r="A91" s="0" t="s">
        <v>227</v>
      </c>
      <c r="C91" s="0" t="n">
        <f aca="false">IF(C78&gt;=Assumptions!$B$13,Assumptions!$B$12,0)</f>
        <v>0</v>
      </c>
      <c r="D91" s="0" t="n">
        <f aca="false">IF(D78&gt;=Assumptions!$B$13,Assumptions!$B$12,0)</f>
        <v>0</v>
      </c>
      <c r="E91" s="0" t="n">
        <f aca="false">IF(E78&gt;=Assumptions!$B$13,Assumptions!$B$12,0)</f>
        <v>0</v>
      </c>
      <c r="F91" s="0" t="n">
        <f aca="false">IF(F78&gt;=Assumptions!$B$13,Assumptions!$B$12,0)</f>
        <v>0</v>
      </c>
      <c r="G91" s="0" t="n">
        <f aca="false">IF(G78&gt;=Assumptions!$B$13,Assumptions!$B$12,0)</f>
        <v>0</v>
      </c>
      <c r="H91" s="0" t="n">
        <f aca="false">IF(H78&gt;=Assumptions!$B$13,Assumptions!$B$12,0)</f>
        <v>0</v>
      </c>
      <c r="I91" s="0" t="n">
        <f aca="false">IF(I78&gt;=Assumptions!$B$13,Assumptions!$B$12,0)</f>
        <v>15000</v>
      </c>
      <c r="J91" s="0" t="n">
        <f aca="false">IF(J78&gt;=Assumptions!$B$13,Assumptions!$B$12,0)</f>
        <v>15000</v>
      </c>
      <c r="K91" s="0" t="n">
        <f aca="false">IF(K78&gt;=Assumptions!$B$13,Assumptions!$B$12,0)</f>
        <v>15000</v>
      </c>
      <c r="L91" s="0" t="n">
        <f aca="false">IF(L78&gt;=Assumptions!$B$13,Assumptions!$B$12,0)</f>
        <v>15000</v>
      </c>
      <c r="M91" s="0" t="n">
        <f aca="false">IF(M78&gt;=Assumptions!$B$13,Assumptions!$B$12,0)</f>
        <v>15000</v>
      </c>
      <c r="N91" s="0" t="n">
        <f aca="false">IF(N78&gt;=Assumptions!$B$13,Assumptions!$B$12,0)</f>
        <v>15000</v>
      </c>
      <c r="O91" s="0" t="n">
        <f aca="false">SUM(C91:N91)</f>
        <v>90000</v>
      </c>
    </row>
    <row r="92" customFormat="false" ht="15" hidden="false" customHeight="false" outlineLevel="0" collapsed="false">
      <c r="A92" s="0" t="s">
        <v>228</v>
      </c>
      <c r="C92" s="0" t="n">
        <f aca="false">C90-C91</f>
        <v>-32500</v>
      </c>
      <c r="D92" s="0" t="n">
        <f aca="false">D90-D91</f>
        <v>-24087.67629</v>
      </c>
      <c r="E92" s="0" t="n">
        <f aca="false">E90-E91</f>
        <v>-13706.86883186</v>
      </c>
      <c r="F92" s="0" t="n">
        <f aca="false">F90-F91</f>
        <v>-1357.57762558001</v>
      </c>
      <c r="G92" s="0" t="n">
        <f aca="false">G90-G91</f>
        <v>4547.87361883999</v>
      </c>
      <c r="H92" s="0" t="n">
        <f aca="false">H90-H91</f>
        <v>18865.64857326</v>
      </c>
      <c r="I92" s="0" t="n">
        <f aca="false">I90-I91</f>
        <v>11739.58356582</v>
      </c>
      <c r="J92" s="0" t="n">
        <f aca="false">J90-J91</f>
        <v>28025.84226838</v>
      </c>
      <c r="K92" s="0" t="n">
        <f aca="false">K90-K91</f>
        <v>37868.26100908</v>
      </c>
      <c r="L92" s="0" t="n">
        <f aca="false">L90-L91</f>
        <v>47710.67974978</v>
      </c>
      <c r="M92" s="0" t="n">
        <f aca="false">M90-M91</f>
        <v>65965.42220048</v>
      </c>
      <c r="N92" s="0" t="n">
        <f aca="false">N90-N91</f>
        <v>77776.32468932</v>
      </c>
      <c r="O92" s="0" t="n">
        <f aca="false">SUM(C92:N92)</f>
        <v>220847.51292752</v>
      </c>
    </row>
    <row r="93" customFormat="false" ht="15" hidden="false" customHeight="false" outlineLevel="0" collapsed="false">
      <c r="A93" s="0" t="s">
        <v>229</v>
      </c>
      <c r="C93" s="0" t="n">
        <f aca="false">Assumptions!$B$9*C84+(1-Assumptions!$B$9)*IF(C78-$Q$77&gt;=1,INDEX($C84:$N84,C78-$Q$77),0)</f>
        <v>0</v>
      </c>
      <c r="D93" s="0" t="n">
        <f aca="false">Assumptions!$B$9*D84+(1-Assumptions!$B$9)*IF(D78-$Q$77&gt;=1,INDEX($C84:$N84,D78-$Q$77),0)</f>
        <v>18703.125</v>
      </c>
      <c r="E93" s="0" t="n">
        <f aca="false">Assumptions!$B$9*E84+(1-Assumptions!$B$9)*IF(E78-$Q$77&gt;=1,INDEX($C84:$N84,E78-$Q$77),0)</f>
        <v>60485.90625</v>
      </c>
      <c r="F93" s="0" t="n">
        <f aca="false">Assumptions!$B$9*F84+(1-Assumptions!$B$9)*IF(F78-$Q$77&gt;=1,INDEX($C84:$N84,F78-$Q$77),0)</f>
        <v>111021.75</v>
      </c>
      <c r="G93" s="0" t="n">
        <f aca="false">Assumptions!$B$9*G84+(1-Assumptions!$B$9)*IF(G78-$Q$77&gt;=1,INDEX($C84:$N84,G78-$Q$77),0)</f>
        <v>151607.53125</v>
      </c>
      <c r="H93" s="0" t="n">
        <f aca="false">Assumptions!$B$9*H84+(1-Assumptions!$B$9)*IF(H78-$Q$77&gt;=1,INDEX($C84:$N84,H78-$Q$77),0)</f>
        <v>196569.84375</v>
      </c>
      <c r="I93" s="0" t="n">
        <f aca="false">Assumptions!$B$9*I84+(1-Assumptions!$B$9)*IF(I78-$Q$77&gt;=1,INDEX($C84:$N84,I78-$Q$77),0)</f>
        <v>245908.6875</v>
      </c>
      <c r="J93" s="0" t="n">
        <f aca="false">Assumptions!$B$9*J84+(1-Assumptions!$B$9)*IF(J78-$Q$77&gt;=1,INDEX($C84:$N84,J78-$Q$77),0)</f>
        <v>299624.0625</v>
      </c>
      <c r="K93" s="0" t="n">
        <f aca="false">Assumptions!$B$9*K84+(1-Assumptions!$B$9)*IF(K78-$Q$77&gt;=1,INDEX($C84:$N84,K78-$Q$77),0)</f>
        <v>357715.96875</v>
      </c>
      <c r="L93" s="0" t="n">
        <f aca="false">Assumptions!$B$9*L84+(1-Assumptions!$B$9)*IF(L78-$Q$77&gt;=1,INDEX($C84:$N84,L78-$Q$77),0)</f>
        <v>401481.28125</v>
      </c>
      <c r="M93" s="0" t="n">
        <f aca="false">Assumptions!$B$9*M84+(1-Assumptions!$B$9)*IF(M78-$Q$77&gt;=1,INDEX($C84:$N84,M78-$Q$77),0)</f>
        <v>463949.71875</v>
      </c>
      <c r="N93" s="0" t="n">
        <f aca="false">Assumptions!$B$9*N84+(1-Assumptions!$B$9)*IF(N78-$Q$77&gt;=1,INDEX($C84:$N84,N78-$Q$77),0)</f>
        <v>530794.6875</v>
      </c>
      <c r="O93" s="0" t="n">
        <f aca="false">SUM(C93:N93)</f>
        <v>2837862.5625</v>
      </c>
    </row>
    <row r="94" customFormat="false" ht="15" hidden="false" customHeight="false" outlineLevel="0" collapsed="false">
      <c r="A94" s="0" t="s">
        <v>230</v>
      </c>
      <c r="C94" s="0" t="n">
        <f aca="false">C85+C86+C88+C89+C91</f>
        <v>32500</v>
      </c>
      <c r="D94" s="0" t="n">
        <f aca="false">D85+D86+D88+D89+D91</f>
        <v>61493.92629</v>
      </c>
      <c r="E94" s="0" t="n">
        <f aca="false">E85+E86+E88+E89+E91</f>
        <v>97272.43133186</v>
      </c>
      <c r="F94" s="0" t="n">
        <f aca="false">F85+F86+F88+F89+F91</f>
        <v>139835.51512558</v>
      </c>
      <c r="G94" s="0" t="n">
        <f aca="false">G85+G86+G88+G89+G91</f>
        <v>160189.25138116</v>
      </c>
      <c r="H94" s="0" t="n">
        <f aca="false">H85+H86+H88+H89+H91</f>
        <v>209536.91392674</v>
      </c>
      <c r="I94" s="0" t="n">
        <f aca="false">I85+I86+I88+I89+I91</f>
        <v>251675.22893418</v>
      </c>
      <c r="J94" s="0" t="n">
        <f aca="false">J85+J86+J88+J89+J91</f>
        <v>307807.47023162</v>
      </c>
      <c r="K94" s="0" t="n">
        <f aca="false">K85+K86+K88+K89+K91</f>
        <v>341730.36399092</v>
      </c>
      <c r="L94" s="0" t="n">
        <f aca="false">L85+L86+L88+L89+L91</f>
        <v>375653.25775022</v>
      </c>
      <c r="M94" s="0" t="n">
        <f aca="false">M85+M86+M88+M89+M91</f>
        <v>438570.07779952</v>
      </c>
      <c r="N94" s="0" t="n">
        <f aca="false">N85+N86+N88+N89+N91</f>
        <v>479277.55031068</v>
      </c>
      <c r="O94" s="0" t="n">
        <f aca="false">SUM(C94:N94)</f>
        <v>2895541.98707248</v>
      </c>
    </row>
    <row r="95" customFormat="false" ht="15" hidden="false" customHeight="false" outlineLevel="0" collapsed="false">
      <c r="A95" s="0" t="s">
        <v>231</v>
      </c>
      <c r="C95" s="0" t="n">
        <f aca="false">C93-C94</f>
        <v>-32500</v>
      </c>
      <c r="D95" s="0" t="n">
        <f aca="false">D93-D94</f>
        <v>-42790.80129</v>
      </c>
      <c r="E95" s="0" t="n">
        <f aca="false">E93-E94</f>
        <v>-36786.52508186</v>
      </c>
      <c r="F95" s="0" t="n">
        <f aca="false">F93-F94</f>
        <v>-28813.76512558</v>
      </c>
      <c r="G95" s="0" t="n">
        <f aca="false">G93-G94</f>
        <v>-8581.72013115999</v>
      </c>
      <c r="H95" s="0" t="n">
        <f aca="false">H93-H94</f>
        <v>-12967.07017674</v>
      </c>
      <c r="I95" s="0" t="n">
        <f aca="false">I93-I94</f>
        <v>-5766.54143418002</v>
      </c>
      <c r="J95" s="0" t="n">
        <f aca="false">J93-J94</f>
        <v>-8183.40773162001</v>
      </c>
      <c r="K95" s="0" t="n">
        <f aca="false">K93-K94</f>
        <v>15985.60475908</v>
      </c>
      <c r="L95" s="0" t="n">
        <f aca="false">L93-L94</f>
        <v>25828.02349978</v>
      </c>
      <c r="M95" s="0" t="n">
        <f aca="false">M93-M94</f>
        <v>25379.64095048</v>
      </c>
      <c r="N95" s="0" t="n">
        <f aca="false">N93-N94</f>
        <v>51517.13718932</v>
      </c>
      <c r="O95" s="0" t="n">
        <f aca="false">SUM(C95:N95)</f>
        <v>-57679.4245724801</v>
      </c>
    </row>
    <row r="96" customFormat="false" ht="15" hidden="false" customHeight="false" outlineLevel="0" collapsed="false">
      <c r="A96" s="0" t="s">
        <v>232</v>
      </c>
      <c r="C96" s="0" t="n">
        <f aca="false">Capital_Allocation!$C$20+C95</f>
        <v>202500</v>
      </c>
      <c r="D96" s="0" t="n">
        <f aca="false">C96+D95</f>
        <v>159709.19871</v>
      </c>
      <c r="E96" s="0" t="n">
        <f aca="false">D96+E95</f>
        <v>122922.67362814</v>
      </c>
      <c r="F96" s="0" t="n">
        <f aca="false">E96+F95</f>
        <v>94108.90850256</v>
      </c>
      <c r="G96" s="0" t="n">
        <f aca="false">F96+G95</f>
        <v>85527.1883714</v>
      </c>
      <c r="H96" s="0" t="n">
        <f aca="false">G96+H95</f>
        <v>72560.11819466</v>
      </c>
      <c r="I96" s="0" t="n">
        <f aca="false">H96+I95</f>
        <v>66793.57676048</v>
      </c>
      <c r="J96" s="0" t="n">
        <f aca="false">I96+J95</f>
        <v>58610.16902886</v>
      </c>
      <c r="K96" s="0" t="n">
        <f aca="false">J96+K95</f>
        <v>74595.77378794</v>
      </c>
      <c r="L96" s="0" t="n">
        <f aca="false">K96+L95</f>
        <v>100423.79728772</v>
      </c>
      <c r="M96" s="0" t="n">
        <f aca="false">L96+M95</f>
        <v>125803.4382382</v>
      </c>
      <c r="N96" s="0" t="n">
        <f aca="false">M96+N95</f>
        <v>177320.57542752</v>
      </c>
    </row>
    <row r="97" customFormat="false" ht="15" hidden="false" customHeight="false" outlineLevel="0" collapsed="false">
      <c r="A97" s="0" t="s">
        <v>233</v>
      </c>
      <c r="C97" s="0" t="n">
        <f aca="false">SUM($C84:C84)-SUM($C93:C93)</f>
        <v>0</v>
      </c>
      <c r="D97" s="0" t="n">
        <f aca="false">SUM($C84:D84)-SUM($C93:D93)</f>
        <v>18703.125</v>
      </c>
      <c r="E97" s="0" t="n">
        <f aca="false">SUM($C84:E84)-SUM($C93:E93)</f>
        <v>41782.78125</v>
      </c>
      <c r="F97" s="0" t="n">
        <f aca="false">SUM($C84:F84)-SUM($C93:F93)</f>
        <v>69238.96875</v>
      </c>
      <c r="G97" s="0" t="n">
        <f aca="false">SUM($C84:G84)-SUM($C93:G93)</f>
        <v>82368.5624999999</v>
      </c>
      <c r="H97" s="0" t="n">
        <f aca="false">SUM($C84:H84)-SUM($C93:H93)</f>
        <v>114201.28125</v>
      </c>
      <c r="I97" s="0" t="n">
        <f aca="false">SUM($C84:I84)-SUM($C93:I93)</f>
        <v>131707.40625</v>
      </c>
      <c r="J97" s="0" t="n">
        <f aca="false">SUM($C84:J84)-SUM($C93:J93)</f>
        <v>167916.65625</v>
      </c>
      <c r="K97" s="0" t="n">
        <f aca="false">SUM($C84:K84)-SUM($C93:K93)</f>
        <v>189799.3125</v>
      </c>
      <c r="L97" s="0" t="n">
        <f aca="false">SUM($C84:L84)-SUM($C93:L93)</f>
        <v>211681.96875</v>
      </c>
      <c r="M97" s="0" t="n">
        <f aca="false">SUM($C84:M84)-SUM($C93:M93)</f>
        <v>252267.75</v>
      </c>
      <c r="N97" s="0" t="n">
        <f aca="false">SUM($C84:N84)-SUM($C93:N93)</f>
        <v>278526.9375</v>
      </c>
    </row>
    <row r="98" customFormat="false" ht="15" hidden="false" customHeight="false" outlineLevel="0" collapsed="false">
      <c r="A98" s="0" t="s">
        <v>234</v>
      </c>
      <c r="C98" s="0" t="n">
        <f aca="false">SUM($C92:C92)</f>
        <v>-32500</v>
      </c>
      <c r="D98" s="0" t="n">
        <f aca="false">SUM($C92:D92)</f>
        <v>-56587.67629</v>
      </c>
      <c r="E98" s="0" t="n">
        <f aca="false">SUM($C92:E92)</f>
        <v>-70294.54512186</v>
      </c>
      <c r="F98" s="0" t="n">
        <f aca="false">SUM($C92:F92)</f>
        <v>-71652.12274744</v>
      </c>
      <c r="G98" s="0" t="n">
        <f aca="false">SUM($C92:G92)</f>
        <v>-67104.2491286</v>
      </c>
      <c r="H98" s="0" t="n">
        <f aca="false">SUM($C92:H92)</f>
        <v>-48238.6005553401</v>
      </c>
      <c r="I98" s="0" t="n">
        <f aca="false">SUM($C92:I92)</f>
        <v>-36499.0169895201</v>
      </c>
      <c r="J98" s="0" t="n">
        <f aca="false">SUM($C92:J92)</f>
        <v>-8473.17472114011</v>
      </c>
      <c r="K98" s="0" t="n">
        <f aca="false">SUM($C92:K92)</f>
        <v>29395.0862879399</v>
      </c>
      <c r="L98" s="0" t="n">
        <f aca="false">SUM($C92:L92)</f>
        <v>77105.7660377199</v>
      </c>
      <c r="M98" s="0" t="n">
        <f aca="false">SUM($C92:M92)</f>
        <v>143071.1882382</v>
      </c>
      <c r="N98" s="0" t="n">
        <f aca="false">SUM($C92:N92)</f>
        <v>220847.51292752</v>
      </c>
    </row>
    <row r="99" customFormat="false" ht="15" hidden="false" customHeight="false" outlineLevel="0" collapsed="false">
      <c r="A99" s="0" t="s">
        <v>235</v>
      </c>
      <c r="C99" s="0" t="n">
        <f aca="false">IF(C92&gt;=0,C78,99)</f>
        <v>99</v>
      </c>
      <c r="D99" s="0" t="n">
        <f aca="false">IF(D92&gt;=0,D78,99)</f>
        <v>99</v>
      </c>
      <c r="E99" s="0" t="n">
        <f aca="false">IF(E92&gt;=0,E78,99)</f>
        <v>99</v>
      </c>
      <c r="F99" s="0" t="n">
        <f aca="false">IF(F92&gt;=0,F78,99)</f>
        <v>99</v>
      </c>
      <c r="G99" s="0" t="n">
        <f aca="false">IF(G92&gt;=0,G78,99)</f>
        <v>5</v>
      </c>
      <c r="H99" s="0" t="n">
        <f aca="false">IF(H92&gt;=0,H78,99)</f>
        <v>6</v>
      </c>
      <c r="I99" s="0" t="n">
        <f aca="false">IF(I92&gt;=0,I78,99)</f>
        <v>7</v>
      </c>
      <c r="J99" s="0" t="n">
        <f aca="false">IF(J92&gt;=0,J78,99)</f>
        <v>8</v>
      </c>
      <c r="K99" s="0" t="n">
        <f aca="false">IF(K92&gt;=0,K78,99)</f>
        <v>9</v>
      </c>
      <c r="L99" s="0" t="n">
        <f aca="false">IF(L92&gt;=0,L78,99)</f>
        <v>10</v>
      </c>
      <c r="M99" s="0" t="n">
        <f aca="false">IF(M92&gt;=0,M78,99)</f>
        <v>11</v>
      </c>
      <c r="N99" s="0" t="n">
        <f aca="false">IF(N92&gt;=0,N78,99)</f>
        <v>12</v>
      </c>
    </row>
    <row r="100" customFormat="false" ht="15" hidden="false" customHeight="false" outlineLevel="0" collapsed="false">
      <c r="A100" s="0" t="s">
        <v>236</v>
      </c>
      <c r="C100" s="0" t="n">
        <f aca="false">IF(C90&gt;=0,C78,99)</f>
        <v>99</v>
      </c>
      <c r="D100" s="0" t="n">
        <f aca="false">IF(D90&gt;=0,D78,99)</f>
        <v>99</v>
      </c>
      <c r="E100" s="0" t="n">
        <f aca="false">IF(E90&gt;=0,E78,99)</f>
        <v>99</v>
      </c>
      <c r="F100" s="0" t="n">
        <f aca="false">IF(F90&gt;=0,F78,99)</f>
        <v>99</v>
      </c>
      <c r="G100" s="0" t="n">
        <f aca="false">IF(G90&gt;=0,G78,99)</f>
        <v>5</v>
      </c>
      <c r="H100" s="0" t="n">
        <f aca="false">IF(H90&gt;=0,H78,99)</f>
        <v>6</v>
      </c>
      <c r="I100" s="0" t="n">
        <f aca="false">IF(I90&gt;=0,I78,99)</f>
        <v>7</v>
      </c>
      <c r="J100" s="0" t="n">
        <f aca="false">IF(J90&gt;=0,J78,99)</f>
        <v>8</v>
      </c>
      <c r="K100" s="0" t="n">
        <f aca="false">IF(K90&gt;=0,K78,99)</f>
        <v>9</v>
      </c>
      <c r="L100" s="0" t="n">
        <f aca="false">IF(L90&gt;=0,L78,99)</f>
        <v>10</v>
      </c>
      <c r="M100" s="0" t="n">
        <f aca="false">IF(M90&gt;=0,M78,99)</f>
        <v>11</v>
      </c>
      <c r="N100" s="0" t="n">
        <f aca="false">IF(N90&gt;=0,N78,99)</f>
        <v>12</v>
      </c>
    </row>
    <row r="101" customFormat="false" ht="15" hidden="false" customHeight="false" outlineLevel="0" collapsed="false">
      <c r="A101" s="5" t="s">
        <v>237</v>
      </c>
      <c r="B101" s="3" t="n">
        <f aca="false">O84</f>
        <v>3116389.5</v>
      </c>
    </row>
    <row r="102" customFormat="false" ht="15" hidden="false" customHeight="false" outlineLevel="0" collapsed="false">
      <c r="A102" s="5" t="s">
        <v>238</v>
      </c>
      <c r="B102" s="3" t="n">
        <f aca="false">O87</f>
        <v>700847.51292752</v>
      </c>
    </row>
    <row r="103" customFormat="false" ht="15" hidden="false" customHeight="false" outlineLevel="0" collapsed="false">
      <c r="A103" s="5" t="s">
        <v>239</v>
      </c>
      <c r="B103" s="3" t="n">
        <f aca="false">O92</f>
        <v>220847.51292752</v>
      </c>
    </row>
    <row r="104" customFormat="false" ht="15" hidden="false" customHeight="false" outlineLevel="0" collapsed="false">
      <c r="A104" s="5" t="s">
        <v>240</v>
      </c>
      <c r="B104" s="3" t="n">
        <f aca="false">MIN(C96:N96)</f>
        <v>58610.16902886</v>
      </c>
    </row>
    <row r="105" customFormat="false" ht="15" hidden="false" customHeight="false" outlineLevel="0" collapsed="false">
      <c r="A105" s="5" t="s">
        <v>241</v>
      </c>
      <c r="B105" s="3" t="n">
        <f aca="false">N96</f>
        <v>177320.57542752</v>
      </c>
    </row>
    <row r="106" customFormat="false" ht="15" hidden="false" customHeight="false" outlineLevel="0" collapsed="false">
      <c r="A106" s="5" t="s">
        <v>242</v>
      </c>
      <c r="B106" s="0" t="str">
        <f aca="false">IF(B104&gt;=0,"YES","NO")</f>
        <v>YES</v>
      </c>
    </row>
    <row r="107" customFormat="false" ht="15" hidden="false" customHeight="false" outlineLevel="0" collapsed="false">
      <c r="A107" s="5" t="s">
        <v>243</v>
      </c>
      <c r="B107" s="0" t="str">
        <f aca="false">IF(B104&gt;=Capital_Allocation!$C$16,"YES","NO")</f>
        <v>YES</v>
      </c>
    </row>
    <row r="108" customFormat="false" ht="15" hidden="false" customHeight="false" outlineLevel="0" collapsed="false">
      <c r="A108" s="5" t="s">
        <v>244</v>
      </c>
      <c r="B108" s="3" t="n">
        <f aca="false">IF(MIN(C100:N100)=99,"none in 12 mo",MIN(C100:N100))</f>
        <v>5</v>
      </c>
    </row>
    <row r="109" customFormat="false" ht="15" hidden="false" customHeight="false" outlineLevel="0" collapsed="false">
      <c r="A109" s="5" t="s">
        <v>245</v>
      </c>
      <c r="B109" s="3" t="n">
        <f aca="false">N92</f>
        <v>77776.32468932</v>
      </c>
    </row>
    <row r="110" customFormat="false" ht="15" hidden="false" customHeight="false" outlineLevel="0" collapsed="false">
      <c r="A110" s="5" t="s">
        <v>246</v>
      </c>
      <c r="B110" s="3" t="n">
        <f aca="false">N97</f>
        <v>278526.9375</v>
      </c>
    </row>
    <row r="111" customFormat="false" ht="15" hidden="false" customHeight="false" outlineLevel="0" collapsed="false">
      <c r="A111" s="5" t="s">
        <v>247</v>
      </c>
      <c r="B111" s="3" t="n">
        <f aca="false">IF(MIN(C99:N99)=99,"none in 12 mo",MIN(C99:N99))</f>
        <v>5</v>
      </c>
    </row>
    <row r="115" customFormat="false" ht="15" hidden="false" customHeight="false" outlineLevel="0" collapsed="false">
      <c r="A115" s="5" t="s">
        <v>250</v>
      </c>
      <c r="P115" s="3" t="s">
        <v>214</v>
      </c>
      <c r="Q115" s="3" t="n">
        <f aca="false">MAX(1,ROUNDUP((Assumptions!$B$10+Scenario_Inputs!$F$15)/30,0))</f>
        <v>1</v>
      </c>
    </row>
    <row r="116" customFormat="false" ht="15" hidden="false" customHeight="false" outlineLevel="0" collapsed="false">
      <c r="A116" s="0" t="s">
        <v>66</v>
      </c>
      <c r="C116" s="0" t="n">
        <v>1</v>
      </c>
      <c r="D116" s="0" t="n">
        <v>2</v>
      </c>
      <c r="E116" s="0" t="n">
        <v>3</v>
      </c>
      <c r="F116" s="0" t="n">
        <v>4</v>
      </c>
      <c r="G116" s="0" t="n">
        <v>5</v>
      </c>
      <c r="H116" s="0" t="n">
        <v>6</v>
      </c>
      <c r="I116" s="0" t="n">
        <v>7</v>
      </c>
      <c r="J116" s="0" t="n">
        <v>8</v>
      </c>
      <c r="K116" s="0" t="n">
        <v>9</v>
      </c>
      <c r="L116" s="0" t="n">
        <v>10</v>
      </c>
      <c r="M116" s="0" t="n">
        <v>11</v>
      </c>
      <c r="N116" s="0" t="n">
        <v>12</v>
      </c>
      <c r="O116" s="5" t="s">
        <v>215</v>
      </c>
    </row>
    <row r="117" customFormat="false" ht="15" hidden="false" customHeight="false" outlineLevel="0" collapsed="false">
      <c r="A117" s="0" t="s">
        <v>216</v>
      </c>
      <c r="C117" s="0" t="n">
        <f aca="false">Assumptions!B$33*Scenario_Inputs!$D$15</f>
        <v>0</v>
      </c>
      <c r="D117" s="0" t="n">
        <f aca="false">Assumptions!C$33*Scenario_Inputs!$D$15</f>
        <v>1</v>
      </c>
      <c r="E117" s="0" t="n">
        <f aca="false">Assumptions!D$33*Scenario_Inputs!$D$15</f>
        <v>2</v>
      </c>
      <c r="F117" s="0" t="n">
        <f aca="false">Assumptions!E$33*Scenario_Inputs!$D$15</f>
        <v>3</v>
      </c>
      <c r="G117" s="0" t="n">
        <f aca="false">Assumptions!F$33*Scenario_Inputs!$D$15</f>
        <v>3</v>
      </c>
      <c r="H117" s="0" t="n">
        <f aca="false">Assumptions!G$33*Scenario_Inputs!$D$15</f>
        <v>4</v>
      </c>
      <c r="I117" s="0" t="n">
        <f aca="false">Assumptions!H$33*Scenario_Inputs!$D$15</f>
        <v>4</v>
      </c>
      <c r="J117" s="0" t="n">
        <f aca="false">Assumptions!I$33*Scenario_Inputs!$D$15</f>
        <v>5</v>
      </c>
      <c r="K117" s="0" t="n">
        <f aca="false">Assumptions!J$33*Scenario_Inputs!$D$15</f>
        <v>5</v>
      </c>
      <c r="L117" s="0" t="n">
        <f aca="false">Assumptions!K$33*Scenario_Inputs!$D$15</f>
        <v>5</v>
      </c>
      <c r="M117" s="0" t="n">
        <f aca="false">Assumptions!L$33*Scenario_Inputs!$D$15</f>
        <v>6</v>
      </c>
      <c r="N117" s="0" t="n">
        <f aca="false">Assumptions!M$33*Scenario_Inputs!$D$15</f>
        <v>6</v>
      </c>
      <c r="O117" s="0" t="n">
        <f aca="false">SUM(C117:N117)</f>
        <v>44</v>
      </c>
    </row>
    <row r="118" customFormat="false" ht="15" hidden="false" customHeight="false" outlineLevel="0" collapsed="false">
      <c r="A118" s="0" t="s">
        <v>217</v>
      </c>
      <c r="C118" s="0" t="n">
        <v>0</v>
      </c>
      <c r="D118" s="0" t="n">
        <f aca="false">SUM($C117:C117)</f>
        <v>0</v>
      </c>
      <c r="E118" s="0" t="n">
        <f aca="false">SUM($C117:D117)</f>
        <v>1</v>
      </c>
      <c r="F118" s="0" t="n">
        <f aca="false">SUM($C117:E117)</f>
        <v>3</v>
      </c>
      <c r="G118" s="0" t="n">
        <f aca="false">SUM($C117:F117)</f>
        <v>6</v>
      </c>
      <c r="H118" s="0" t="n">
        <f aca="false">SUM($C117:G117)</f>
        <v>9</v>
      </c>
      <c r="I118" s="0" t="n">
        <f aca="false">SUM($C117:H117)</f>
        <v>13</v>
      </c>
      <c r="J118" s="0" t="n">
        <f aca="false">SUM($C117:I117)</f>
        <v>17</v>
      </c>
      <c r="K118" s="0" t="n">
        <f aca="false">SUM($C117:J117)</f>
        <v>22</v>
      </c>
      <c r="L118" s="0" t="n">
        <f aca="false">SUM($C117:K117)</f>
        <v>27</v>
      </c>
      <c r="M118" s="0" t="n">
        <f aca="false">SUM($C117:L117)</f>
        <v>32</v>
      </c>
      <c r="N118" s="0" t="n">
        <f aca="false">SUM($C117:M117)</f>
        <v>38</v>
      </c>
    </row>
    <row r="119" customFormat="false" ht="15" hidden="false" customHeight="false" outlineLevel="0" collapsed="false">
      <c r="A119" s="0" t="s">
        <v>218</v>
      </c>
      <c r="C119" s="0" t="n">
        <f aca="false">C118*Assumptions!$B$11*Scenario_Inputs!$E$15</f>
        <v>0</v>
      </c>
      <c r="D119" s="0" t="n">
        <f aca="false">D118*Assumptions!$B$11*Scenario_Inputs!$E$15</f>
        <v>0</v>
      </c>
      <c r="E119" s="0" t="n">
        <f aca="false">E118*Assumptions!$B$11*Scenario_Inputs!$E$15</f>
        <v>0.18</v>
      </c>
      <c r="F119" s="0" t="n">
        <f aca="false">F118*Assumptions!$B$11*Scenario_Inputs!$E$15</f>
        <v>0.54</v>
      </c>
      <c r="G119" s="0" t="n">
        <f aca="false">G118*Assumptions!$B$11*Scenario_Inputs!$E$15</f>
        <v>1.08</v>
      </c>
      <c r="H119" s="0" t="n">
        <f aca="false">H118*Assumptions!$B$11*Scenario_Inputs!$E$15</f>
        <v>1.62</v>
      </c>
      <c r="I119" s="0" t="n">
        <f aca="false">I118*Assumptions!$B$11*Scenario_Inputs!$E$15</f>
        <v>2.34</v>
      </c>
      <c r="J119" s="0" t="n">
        <f aca="false">J118*Assumptions!$B$11*Scenario_Inputs!$E$15</f>
        <v>3.06</v>
      </c>
      <c r="K119" s="0" t="n">
        <f aca="false">K118*Assumptions!$B$11*Scenario_Inputs!$E$15</f>
        <v>3.96</v>
      </c>
      <c r="L119" s="0" t="n">
        <f aca="false">L118*Assumptions!$B$11*Scenario_Inputs!$E$15</f>
        <v>4.86</v>
      </c>
      <c r="M119" s="0" t="n">
        <f aca="false">M118*Assumptions!$B$11*Scenario_Inputs!$E$15</f>
        <v>5.76</v>
      </c>
      <c r="N119" s="0" t="n">
        <f aca="false">N118*Assumptions!$B$11*Scenario_Inputs!$E$15</f>
        <v>6.84</v>
      </c>
      <c r="O119" s="0" t="n">
        <f aca="false">SUM(C119:N119)</f>
        <v>30.24</v>
      </c>
    </row>
    <row r="120" customFormat="false" ht="15" hidden="false" customHeight="false" outlineLevel="0" collapsed="false">
      <c r="A120" s="0" t="s">
        <v>219</v>
      </c>
      <c r="C120" s="0" t="n">
        <f aca="false">C117+C119</f>
        <v>0</v>
      </c>
      <c r="D120" s="0" t="n">
        <f aca="false">D117+D119</f>
        <v>1</v>
      </c>
      <c r="E120" s="0" t="n">
        <f aca="false">E117+E119</f>
        <v>2.18</v>
      </c>
      <c r="F120" s="0" t="n">
        <f aca="false">F117+F119</f>
        <v>3.54</v>
      </c>
      <c r="G120" s="0" t="n">
        <f aca="false">G117+G119</f>
        <v>4.08</v>
      </c>
      <c r="H120" s="0" t="n">
        <f aca="false">H117+H119</f>
        <v>5.62</v>
      </c>
      <c r="I120" s="0" t="n">
        <f aca="false">I117+I119</f>
        <v>6.34</v>
      </c>
      <c r="J120" s="0" t="n">
        <f aca="false">J117+J119</f>
        <v>8.06</v>
      </c>
      <c r="K120" s="0" t="n">
        <f aca="false">K117+K119</f>
        <v>8.96</v>
      </c>
      <c r="L120" s="0" t="n">
        <f aca="false">L117+L119</f>
        <v>9.86</v>
      </c>
      <c r="M120" s="0" t="n">
        <f aca="false">M117+M119</f>
        <v>11.76</v>
      </c>
      <c r="N120" s="0" t="n">
        <f aca="false">N117+N119</f>
        <v>12.84</v>
      </c>
      <c r="O120" s="0" t="n">
        <f aca="false">SUM(C120:N120)</f>
        <v>74.24</v>
      </c>
    </row>
    <row r="121" customFormat="false" ht="15" hidden="false" customHeight="false" outlineLevel="0" collapsed="false">
      <c r="A121" s="0" t="s">
        <v>220</v>
      </c>
      <c r="C121" s="0" t="n">
        <f aca="false">C120*Assumptions!$B$5*Scenario_Inputs!G$16</f>
        <v>0</v>
      </c>
      <c r="D121" s="0" t="n">
        <f aca="false">D120*Assumptions!$B$5*Scenario_Inputs!H$16</f>
        <v>26718.75</v>
      </c>
      <c r="E121" s="0" t="n">
        <f aca="false">E120*Assumptions!$B$5*Scenario_Inputs!I$16</f>
        <v>58246.875</v>
      </c>
      <c r="F121" s="0" t="n">
        <f aca="false">F120*Assumptions!$B$5*Scenario_Inputs!J$16</f>
        <v>94584.375</v>
      </c>
      <c r="G121" s="0" t="n">
        <f aca="false">G120*Assumptions!$B$5*Scenario_Inputs!K$16</f>
        <v>109012.5</v>
      </c>
      <c r="H121" s="0" t="n">
        <f aca="false">H120*Assumptions!$B$5*Scenario_Inputs!L$16</f>
        <v>150159.375</v>
      </c>
      <c r="I121" s="0" t="n">
        <f aca="false">I120*Assumptions!$B$5*Scenario_Inputs!M$16</f>
        <v>169396.875</v>
      </c>
      <c r="J121" s="0" t="n">
        <f aca="false">J120*Assumptions!$B$5*Scenario_Inputs!N$16</f>
        <v>215353.125</v>
      </c>
      <c r="K121" s="0" t="n">
        <f aca="false">K120*Assumptions!$B$5*Scenario_Inputs!O$16</f>
        <v>239400</v>
      </c>
      <c r="L121" s="0" t="n">
        <f aca="false">L120*Assumptions!$B$5*Scenario_Inputs!P$16</f>
        <v>263446.875</v>
      </c>
      <c r="M121" s="0" t="n">
        <f aca="false">M120*Assumptions!$B$5*Scenario_Inputs!Q$16</f>
        <v>314212.5</v>
      </c>
      <c r="N121" s="0" t="n">
        <f aca="false">N120*Assumptions!$B$5*Scenario_Inputs!R$16</f>
        <v>343068.75</v>
      </c>
      <c r="O121" s="0" t="n">
        <f aca="false">SUM(C121:N121)</f>
        <v>1983600</v>
      </c>
    </row>
    <row r="122" customFormat="false" ht="15" hidden="false" customHeight="false" outlineLevel="0" collapsed="false">
      <c r="A122" s="0" t="s">
        <v>221</v>
      </c>
      <c r="C122" s="0" t="n">
        <f aca="false">C121*Scenario_Inputs!$B$15</f>
        <v>0</v>
      </c>
      <c r="D122" s="0" t="n">
        <f aca="false">D121*Scenario_Inputs!$B$15</f>
        <v>24046.875</v>
      </c>
      <c r="E122" s="0" t="n">
        <f aca="false">E121*Scenario_Inputs!$B$15</f>
        <v>52422.1875</v>
      </c>
      <c r="F122" s="0" t="n">
        <f aca="false">F121*Scenario_Inputs!$B$15</f>
        <v>85125.9375</v>
      </c>
      <c r="G122" s="0" t="n">
        <f aca="false">G121*Scenario_Inputs!$B$15</f>
        <v>98111.25</v>
      </c>
      <c r="H122" s="0" t="n">
        <f aca="false">H121*Scenario_Inputs!$B$15</f>
        <v>135143.4375</v>
      </c>
      <c r="I122" s="0" t="n">
        <f aca="false">I121*Scenario_Inputs!$B$15</f>
        <v>152457.1875</v>
      </c>
      <c r="J122" s="0" t="n">
        <f aca="false">J121*Scenario_Inputs!$B$15</f>
        <v>193817.8125</v>
      </c>
      <c r="K122" s="0" t="n">
        <f aca="false">K121*Scenario_Inputs!$B$15</f>
        <v>215460</v>
      </c>
      <c r="L122" s="0" t="n">
        <f aca="false">L121*Scenario_Inputs!$B$15</f>
        <v>237102.1875</v>
      </c>
      <c r="M122" s="0" t="n">
        <f aca="false">M121*Scenario_Inputs!$B$15</f>
        <v>282791.25</v>
      </c>
      <c r="N122" s="0" t="n">
        <f aca="false">N121*Scenario_Inputs!$B$15</f>
        <v>308761.875</v>
      </c>
      <c r="O122" s="0" t="n">
        <f aca="false">SUM(C122:N122)</f>
        <v>1785240</v>
      </c>
    </row>
    <row r="123" customFormat="false" ht="15" hidden="false" customHeight="false" outlineLevel="0" collapsed="false">
      <c r="A123" s="0" t="s">
        <v>222</v>
      </c>
      <c r="C123" s="0" t="n">
        <f aca="false">C121*(1-Assumptions!$B$6)*Scenario_Inputs!$C$15*(1+(1-Assumptions!$B$26)*Assumptions!$B$21*Assumptions!$B$27)</f>
        <v>0</v>
      </c>
      <c r="D123" s="0" t="n">
        <f aca="false">D121*(1-Assumptions!$B$6)*Scenario_Inputs!$C$15*(1+(1-Assumptions!$B$26)*Assumptions!$B$21*Assumptions!$B$27)</f>
        <v>19697.755</v>
      </c>
      <c r="E123" s="0" t="n">
        <f aca="false">E121*(1-Assumptions!$B$6)*Scenario_Inputs!$C$15*(1+(1-Assumptions!$B$26)*Assumptions!$B$21*Assumptions!$B$27)</f>
        <v>42941.1059</v>
      </c>
      <c r="F123" s="0" t="n">
        <f aca="false">F121*(1-Assumptions!$B$6)*Scenario_Inputs!$C$15*(1+(1-Assumptions!$B$26)*Assumptions!$B$21*Assumptions!$B$27)</f>
        <v>69730.0527</v>
      </c>
      <c r="G123" s="0" t="n">
        <f aca="false">G121*(1-Assumptions!$B$6)*Scenario_Inputs!$C$15*(1+(1-Assumptions!$B$26)*Assumptions!$B$21*Assumptions!$B$27)</f>
        <v>80366.8404</v>
      </c>
      <c r="H123" s="0" t="n">
        <f aca="false">H121*(1-Assumptions!$B$6)*Scenario_Inputs!$C$15*(1+(1-Assumptions!$B$26)*Assumptions!$B$21*Assumptions!$B$27)</f>
        <v>110701.3831</v>
      </c>
      <c r="I123" s="0" t="n">
        <f aca="false">I121*(1-Assumptions!$B$6)*Scenario_Inputs!$C$15*(1+(1-Assumptions!$B$26)*Assumptions!$B$21*Assumptions!$B$27)</f>
        <v>124883.7667</v>
      </c>
      <c r="J123" s="0" t="n">
        <f aca="false">J121*(1-Assumptions!$B$6)*Scenario_Inputs!$C$15*(1+(1-Assumptions!$B$26)*Assumptions!$B$21*Assumptions!$B$27)</f>
        <v>158763.9053</v>
      </c>
      <c r="K123" s="0" t="n">
        <f aca="false">K121*(1-Assumptions!$B$6)*Scenario_Inputs!$C$15*(1+(1-Assumptions!$B$26)*Assumptions!$B$21*Assumptions!$B$27)</f>
        <v>176491.8848</v>
      </c>
      <c r="L123" s="0" t="n">
        <f aca="false">L121*(1-Assumptions!$B$6)*Scenario_Inputs!$C$15*(1+(1-Assumptions!$B$26)*Assumptions!$B$21*Assumptions!$B$27)</f>
        <v>194219.8643</v>
      </c>
      <c r="M123" s="0" t="n">
        <f aca="false">M121*(1-Assumptions!$B$6)*Scenario_Inputs!$C$15*(1+(1-Assumptions!$B$26)*Assumptions!$B$21*Assumptions!$B$27)</f>
        <v>231645.5988</v>
      </c>
      <c r="N123" s="0" t="n">
        <f aca="false">N121*(1-Assumptions!$B$6)*Scenario_Inputs!$C$15*(1+(1-Assumptions!$B$26)*Assumptions!$B$21*Assumptions!$B$27)</f>
        <v>252919.1742</v>
      </c>
      <c r="O123" s="0" t="n">
        <f aca="false">SUM(C123:N123)</f>
        <v>1462361.3312</v>
      </c>
    </row>
    <row r="124" customFormat="false" ht="15" hidden="false" customHeight="false" outlineLevel="0" collapsed="false">
      <c r="A124" s="0" t="s">
        <v>223</v>
      </c>
      <c r="C124" s="0" t="n">
        <f aca="false">C122*(Assumptions!$B$7+Assumptions!$B$8)</f>
        <v>0</v>
      </c>
      <c r="D124" s="0" t="n">
        <f aca="false">D122*(Assumptions!$B$7+Assumptions!$B$8)</f>
        <v>1442.8125</v>
      </c>
      <c r="E124" s="0" t="n">
        <f aca="false">E122*(Assumptions!$B$7+Assumptions!$B$8)</f>
        <v>3145.33125</v>
      </c>
      <c r="F124" s="0" t="n">
        <f aca="false">F122*(Assumptions!$B$7+Assumptions!$B$8)</f>
        <v>5107.55625</v>
      </c>
      <c r="G124" s="0" t="n">
        <f aca="false">G122*(Assumptions!$B$7+Assumptions!$B$8)</f>
        <v>5886.675</v>
      </c>
      <c r="H124" s="0" t="n">
        <f aca="false">H122*(Assumptions!$B$7+Assumptions!$B$8)</f>
        <v>8108.60625</v>
      </c>
      <c r="I124" s="0" t="n">
        <f aca="false">I122*(Assumptions!$B$7+Assumptions!$B$8)</f>
        <v>9147.43125</v>
      </c>
      <c r="J124" s="0" t="n">
        <f aca="false">J122*(Assumptions!$B$7+Assumptions!$B$8)</f>
        <v>11629.06875</v>
      </c>
      <c r="K124" s="0" t="n">
        <f aca="false">K122*(Assumptions!$B$7+Assumptions!$B$8)</f>
        <v>12927.6</v>
      </c>
      <c r="L124" s="0" t="n">
        <f aca="false">L122*(Assumptions!$B$7+Assumptions!$B$8)</f>
        <v>14226.13125</v>
      </c>
      <c r="M124" s="0" t="n">
        <f aca="false">M122*(Assumptions!$B$7+Assumptions!$B$8)</f>
        <v>16967.475</v>
      </c>
      <c r="N124" s="0" t="n">
        <f aca="false">N122*(Assumptions!$B$7+Assumptions!$B$8)</f>
        <v>18525.7125</v>
      </c>
      <c r="O124" s="0" t="n">
        <f aca="false">SUM(C124:N124)</f>
        <v>107114.4</v>
      </c>
    </row>
    <row r="125" customFormat="false" ht="15" hidden="false" customHeight="false" outlineLevel="0" collapsed="false">
      <c r="A125" s="0" t="s">
        <v>198</v>
      </c>
      <c r="C125" s="0" t="n">
        <f aca="false">C122-C123-C124</f>
        <v>0</v>
      </c>
      <c r="D125" s="0" t="n">
        <f aca="false">D122-D123-D124</f>
        <v>2906.3075</v>
      </c>
      <c r="E125" s="0" t="n">
        <f aca="false">E122-E123-E124</f>
        <v>6335.75035000001</v>
      </c>
      <c r="F125" s="0" t="n">
        <f aca="false">F122-F123-F124</f>
        <v>10288.32855</v>
      </c>
      <c r="G125" s="0" t="n">
        <f aca="false">G122-G123-G124</f>
        <v>11857.7346</v>
      </c>
      <c r="H125" s="0" t="n">
        <f aca="false">H122-H123-H124</f>
        <v>16333.44815</v>
      </c>
      <c r="I125" s="0" t="n">
        <f aca="false">I122-I123-I124</f>
        <v>18425.98955</v>
      </c>
      <c r="J125" s="0" t="n">
        <f aca="false">J122-J123-J124</f>
        <v>23424.83845</v>
      </c>
      <c r="K125" s="0" t="n">
        <f aca="false">K122-K123-K124</f>
        <v>26040.5152</v>
      </c>
      <c r="L125" s="0" t="n">
        <f aca="false">L122-L123-L124</f>
        <v>28656.19195</v>
      </c>
      <c r="M125" s="0" t="n">
        <f aca="false">M122-M123-M124</f>
        <v>34178.1762</v>
      </c>
      <c r="N125" s="0" t="n">
        <f aca="false">N122-N123-N124</f>
        <v>37316.9883</v>
      </c>
      <c r="O125" s="0" t="n">
        <f aca="false">SUM(C125:N125)</f>
        <v>215764.2688</v>
      </c>
    </row>
    <row r="126" customFormat="false" ht="15" hidden="false" customHeight="false" outlineLevel="0" collapsed="false">
      <c r="A126" s="0" t="s">
        <v>224</v>
      </c>
      <c r="C126" s="0" t="n">
        <f aca="false">Assumptions!$B$29</f>
        <v>32500</v>
      </c>
      <c r="D126" s="0" t="n">
        <f aca="false">Assumptions!$B$29</f>
        <v>32500</v>
      </c>
      <c r="E126" s="0" t="n">
        <f aca="false">Assumptions!$B$29</f>
        <v>32500</v>
      </c>
      <c r="F126" s="0" t="n">
        <f aca="false">Assumptions!$B$29</f>
        <v>32500</v>
      </c>
      <c r="G126" s="0" t="n">
        <f aca="false">Assumptions!$B$29</f>
        <v>32500</v>
      </c>
      <c r="H126" s="0" t="n">
        <f aca="false">Assumptions!$B$29</f>
        <v>32500</v>
      </c>
      <c r="I126" s="0" t="n">
        <f aca="false">Assumptions!$B$29</f>
        <v>32500</v>
      </c>
      <c r="J126" s="0" t="n">
        <f aca="false">Assumptions!$B$29</f>
        <v>32500</v>
      </c>
      <c r="K126" s="0" t="n">
        <f aca="false">Assumptions!$B$29</f>
        <v>32500</v>
      </c>
      <c r="L126" s="0" t="n">
        <f aca="false">Assumptions!$B$29</f>
        <v>32500</v>
      </c>
      <c r="M126" s="0" t="n">
        <f aca="false">Assumptions!$B$29</f>
        <v>32500</v>
      </c>
      <c r="N126" s="0" t="n">
        <f aca="false">Assumptions!$B$29</f>
        <v>32500</v>
      </c>
      <c r="O126" s="0" t="n">
        <f aca="false">SUM(C126:N126)</f>
        <v>390000</v>
      </c>
    </row>
    <row r="127" customFormat="false" ht="15" hidden="false" customHeight="false" outlineLevel="0" collapsed="false">
      <c r="A127" s="0" t="s">
        <v>225</v>
      </c>
      <c r="C127" s="0" t="n">
        <f aca="false">Scenario_Inputs!G$17</f>
        <v>0</v>
      </c>
      <c r="D127" s="0" t="n">
        <f aca="false">Scenario_Inputs!H$17</f>
        <v>0</v>
      </c>
      <c r="E127" s="0" t="n">
        <f aca="false">Scenario_Inputs!I$17</f>
        <v>0</v>
      </c>
      <c r="F127" s="0" t="n">
        <f aca="false">Scenario_Inputs!J$17</f>
        <v>0</v>
      </c>
      <c r="G127" s="0" t="n">
        <f aca="false">Scenario_Inputs!K$17</f>
        <v>0</v>
      </c>
      <c r="H127" s="0" t="n">
        <f aca="false">Scenario_Inputs!L$17</f>
        <v>0</v>
      </c>
      <c r="I127" s="0" t="n">
        <f aca="false">Scenario_Inputs!M$17</f>
        <v>0</v>
      </c>
      <c r="J127" s="0" t="n">
        <f aca="false">Scenario_Inputs!N$17</f>
        <v>0</v>
      </c>
      <c r="K127" s="0" t="n">
        <f aca="false">Scenario_Inputs!O$17</f>
        <v>0</v>
      </c>
      <c r="L127" s="0" t="n">
        <f aca="false">Scenario_Inputs!P$17</f>
        <v>0</v>
      </c>
      <c r="M127" s="0" t="n">
        <f aca="false">Scenario_Inputs!Q$17</f>
        <v>0</v>
      </c>
      <c r="N127" s="0" t="n">
        <f aca="false">Scenario_Inputs!R$17</f>
        <v>0</v>
      </c>
      <c r="O127" s="0" t="n">
        <f aca="false">SUM(C127:N127)</f>
        <v>0</v>
      </c>
    </row>
    <row r="128" customFormat="false" ht="15" hidden="false" customHeight="false" outlineLevel="0" collapsed="false">
      <c r="A128" s="0" t="s">
        <v>226</v>
      </c>
      <c r="C128" s="0" t="n">
        <f aca="false">C125-C126-C127</f>
        <v>-32500</v>
      </c>
      <c r="D128" s="0" t="n">
        <f aca="false">D125-D126-D127</f>
        <v>-29593.6925</v>
      </c>
      <c r="E128" s="0" t="n">
        <f aca="false">E125-E126-E127</f>
        <v>-26164.24965</v>
      </c>
      <c r="F128" s="0" t="n">
        <f aca="false">F125-F126-F127</f>
        <v>-22211.67145</v>
      </c>
      <c r="G128" s="0" t="n">
        <f aca="false">G125-G126-G127</f>
        <v>-20642.2654</v>
      </c>
      <c r="H128" s="0" t="n">
        <f aca="false">H125-H126-H127</f>
        <v>-16166.55185</v>
      </c>
      <c r="I128" s="0" t="n">
        <f aca="false">I125-I126-I127</f>
        <v>-14074.01045</v>
      </c>
      <c r="J128" s="0" t="n">
        <f aca="false">J125-J126-J127</f>
        <v>-9075.16155000001</v>
      </c>
      <c r="K128" s="0" t="n">
        <f aca="false">K125-K126-K127</f>
        <v>-6459.48480000003</v>
      </c>
      <c r="L128" s="0" t="n">
        <f aca="false">L125-L126-L127</f>
        <v>-3843.80805000001</v>
      </c>
      <c r="M128" s="0" t="n">
        <f aca="false">M125-M126-M127</f>
        <v>1678.17619999999</v>
      </c>
      <c r="N128" s="0" t="n">
        <f aca="false">N125-N126-N127</f>
        <v>4816.9883</v>
      </c>
      <c r="O128" s="0" t="n">
        <f aca="false">SUM(C128:N128)</f>
        <v>-174235.7312</v>
      </c>
    </row>
    <row r="129" customFormat="false" ht="15" hidden="false" customHeight="false" outlineLevel="0" collapsed="false">
      <c r="A129" s="0" t="s">
        <v>227</v>
      </c>
      <c r="C129" s="0" t="n">
        <f aca="false">IF(C116&gt;=Assumptions!$B$13,Assumptions!$B$12,0)</f>
        <v>0</v>
      </c>
      <c r="D129" s="0" t="n">
        <f aca="false">IF(D116&gt;=Assumptions!$B$13,Assumptions!$B$12,0)</f>
        <v>0</v>
      </c>
      <c r="E129" s="0" t="n">
        <f aca="false">IF(E116&gt;=Assumptions!$B$13,Assumptions!$B$12,0)</f>
        <v>0</v>
      </c>
      <c r="F129" s="0" t="n">
        <f aca="false">IF(F116&gt;=Assumptions!$B$13,Assumptions!$B$12,0)</f>
        <v>0</v>
      </c>
      <c r="G129" s="0" t="n">
        <f aca="false">IF(G116&gt;=Assumptions!$B$13,Assumptions!$B$12,0)</f>
        <v>0</v>
      </c>
      <c r="H129" s="0" t="n">
        <f aca="false">IF(H116&gt;=Assumptions!$B$13,Assumptions!$B$12,0)</f>
        <v>0</v>
      </c>
      <c r="I129" s="0" t="n">
        <f aca="false">IF(I116&gt;=Assumptions!$B$13,Assumptions!$B$12,0)</f>
        <v>15000</v>
      </c>
      <c r="J129" s="0" t="n">
        <f aca="false">IF(J116&gt;=Assumptions!$B$13,Assumptions!$B$12,0)</f>
        <v>15000</v>
      </c>
      <c r="K129" s="0" t="n">
        <f aca="false">IF(K116&gt;=Assumptions!$B$13,Assumptions!$B$12,0)</f>
        <v>15000</v>
      </c>
      <c r="L129" s="0" t="n">
        <f aca="false">IF(L116&gt;=Assumptions!$B$13,Assumptions!$B$12,0)</f>
        <v>15000</v>
      </c>
      <c r="M129" s="0" t="n">
        <f aca="false">IF(M116&gt;=Assumptions!$B$13,Assumptions!$B$12,0)</f>
        <v>15000</v>
      </c>
      <c r="N129" s="0" t="n">
        <f aca="false">IF(N116&gt;=Assumptions!$B$13,Assumptions!$B$12,0)</f>
        <v>15000</v>
      </c>
      <c r="O129" s="0" t="n">
        <f aca="false">SUM(C129:N129)</f>
        <v>90000</v>
      </c>
    </row>
    <row r="130" customFormat="false" ht="15" hidden="false" customHeight="false" outlineLevel="0" collapsed="false">
      <c r="A130" s="0" t="s">
        <v>228</v>
      </c>
      <c r="C130" s="0" t="n">
        <f aca="false">C128-C129</f>
        <v>-32500</v>
      </c>
      <c r="D130" s="0" t="n">
        <f aca="false">D128-D129</f>
        <v>-29593.6925</v>
      </c>
      <c r="E130" s="0" t="n">
        <f aca="false">E128-E129</f>
        <v>-26164.24965</v>
      </c>
      <c r="F130" s="0" t="n">
        <f aca="false">F128-F129</f>
        <v>-22211.67145</v>
      </c>
      <c r="G130" s="0" t="n">
        <f aca="false">G128-G129</f>
        <v>-20642.2654</v>
      </c>
      <c r="H130" s="0" t="n">
        <f aca="false">H128-H129</f>
        <v>-16166.55185</v>
      </c>
      <c r="I130" s="0" t="n">
        <f aca="false">I128-I129</f>
        <v>-29074.01045</v>
      </c>
      <c r="J130" s="0" t="n">
        <f aca="false">J128-J129</f>
        <v>-24075.16155</v>
      </c>
      <c r="K130" s="0" t="n">
        <f aca="false">K128-K129</f>
        <v>-21459.4848</v>
      </c>
      <c r="L130" s="0" t="n">
        <f aca="false">L128-L129</f>
        <v>-18843.80805</v>
      </c>
      <c r="M130" s="0" t="n">
        <f aca="false">M128-M129</f>
        <v>-13321.8238</v>
      </c>
      <c r="N130" s="0" t="n">
        <f aca="false">N128-N129</f>
        <v>-10183.0117</v>
      </c>
      <c r="O130" s="0" t="n">
        <f aca="false">SUM(C130:N130)</f>
        <v>-264235.7312</v>
      </c>
    </row>
    <row r="131" customFormat="false" ht="15" hidden="false" customHeight="false" outlineLevel="0" collapsed="false">
      <c r="A131" s="0" t="s">
        <v>229</v>
      </c>
      <c r="C131" s="0" t="n">
        <f aca="false">Assumptions!$B$9*C122+(1-Assumptions!$B$9)*IF(C116-$Q$115&gt;=1,INDEX($C122:$N122,C116-$Q$115),0)</f>
        <v>0</v>
      </c>
      <c r="D131" s="0" t="n">
        <f aca="false">Assumptions!$B$9*D122+(1-Assumptions!$B$9)*IF(D116-$Q$115&gt;=1,INDEX($C122:$N122,D116-$Q$115),0)</f>
        <v>12023.4375</v>
      </c>
      <c r="E131" s="0" t="n">
        <f aca="false">Assumptions!$B$9*E122+(1-Assumptions!$B$9)*IF(E116-$Q$115&gt;=1,INDEX($C122:$N122,E116-$Q$115),0)</f>
        <v>38234.53125</v>
      </c>
      <c r="F131" s="0" t="n">
        <f aca="false">Assumptions!$B$9*F122+(1-Assumptions!$B$9)*IF(F116-$Q$115&gt;=1,INDEX($C122:$N122,F116-$Q$115),0)</f>
        <v>68774.0625</v>
      </c>
      <c r="G131" s="0" t="n">
        <f aca="false">Assumptions!$B$9*G122+(1-Assumptions!$B$9)*IF(G116-$Q$115&gt;=1,INDEX($C122:$N122,G116-$Q$115),0)</f>
        <v>91618.59375</v>
      </c>
      <c r="H131" s="0" t="n">
        <f aca="false">Assumptions!$B$9*H122+(1-Assumptions!$B$9)*IF(H116-$Q$115&gt;=1,INDEX($C122:$N122,H116-$Q$115),0)</f>
        <v>116627.34375</v>
      </c>
      <c r="I131" s="0" t="n">
        <f aca="false">Assumptions!$B$9*I122+(1-Assumptions!$B$9)*IF(I116-$Q$115&gt;=1,INDEX($C122:$N122,I116-$Q$115),0)</f>
        <v>143800.3125</v>
      </c>
      <c r="J131" s="0" t="n">
        <f aca="false">Assumptions!$B$9*J122+(1-Assumptions!$B$9)*IF(J116-$Q$115&gt;=1,INDEX($C122:$N122,J116-$Q$115),0)</f>
        <v>173137.5</v>
      </c>
      <c r="K131" s="0" t="n">
        <f aca="false">Assumptions!$B$9*K122+(1-Assumptions!$B$9)*IF(K116-$Q$115&gt;=1,INDEX($C122:$N122,K116-$Q$115),0)</f>
        <v>204638.90625</v>
      </c>
      <c r="L131" s="0" t="n">
        <f aca="false">Assumptions!$B$9*L122+(1-Assumptions!$B$9)*IF(L116-$Q$115&gt;=1,INDEX($C122:$N122,L116-$Q$115),0)</f>
        <v>226281.09375</v>
      </c>
      <c r="M131" s="0" t="n">
        <f aca="false">Assumptions!$B$9*M122+(1-Assumptions!$B$9)*IF(M116-$Q$115&gt;=1,INDEX($C122:$N122,M116-$Q$115),0)</f>
        <v>259946.71875</v>
      </c>
      <c r="N131" s="0" t="n">
        <f aca="false">Assumptions!$B$9*N122+(1-Assumptions!$B$9)*IF(N116-$Q$115&gt;=1,INDEX($C122:$N122,N116-$Q$115),0)</f>
        <v>295776.5625</v>
      </c>
      <c r="O131" s="0" t="n">
        <f aca="false">SUM(C131:N131)</f>
        <v>1630859.0625</v>
      </c>
    </row>
    <row r="132" customFormat="false" ht="15" hidden="false" customHeight="false" outlineLevel="0" collapsed="false">
      <c r="A132" s="0" t="s">
        <v>230</v>
      </c>
      <c r="C132" s="0" t="n">
        <f aca="false">C123+C124+C126+C127+C129</f>
        <v>32500</v>
      </c>
      <c r="D132" s="0" t="n">
        <f aca="false">D123+D124+D126+D127+D129</f>
        <v>53640.5675</v>
      </c>
      <c r="E132" s="0" t="n">
        <f aca="false">E123+E124+E126+E127+E129</f>
        <v>78586.43715</v>
      </c>
      <c r="F132" s="0" t="n">
        <f aca="false">F123+F124+F126+F127+F129</f>
        <v>107337.60895</v>
      </c>
      <c r="G132" s="0" t="n">
        <f aca="false">G123+G124+G126+G127+G129</f>
        <v>118753.5154</v>
      </c>
      <c r="H132" s="0" t="n">
        <f aca="false">H123+H124+H126+H127+H129</f>
        <v>151309.98935</v>
      </c>
      <c r="I132" s="0" t="n">
        <f aca="false">I123+I124+I126+I127+I129</f>
        <v>181531.19795</v>
      </c>
      <c r="J132" s="0" t="n">
        <f aca="false">J123+J124+J126+J127+J129</f>
        <v>217892.97405</v>
      </c>
      <c r="K132" s="0" t="n">
        <f aca="false">K123+K124+K126+K127+K129</f>
        <v>236919.4848</v>
      </c>
      <c r="L132" s="0" t="n">
        <f aca="false">L123+L124+L126+L127+L129</f>
        <v>255945.99555</v>
      </c>
      <c r="M132" s="0" t="n">
        <f aca="false">M123+M124+M126+M127+M129</f>
        <v>296113.0738</v>
      </c>
      <c r="N132" s="0" t="n">
        <f aca="false">N123+N124+N126+N127+N129</f>
        <v>318944.8867</v>
      </c>
      <c r="O132" s="0" t="n">
        <f aca="false">SUM(C132:N132)</f>
        <v>2049475.7312</v>
      </c>
    </row>
    <row r="133" customFormat="false" ht="15" hidden="false" customHeight="false" outlineLevel="0" collapsed="false">
      <c r="A133" s="0" t="s">
        <v>231</v>
      </c>
      <c r="C133" s="0" t="n">
        <f aca="false">C131-C132</f>
        <v>-32500</v>
      </c>
      <c r="D133" s="0" t="n">
        <f aca="false">D131-D132</f>
        <v>-41617.13</v>
      </c>
      <c r="E133" s="0" t="n">
        <f aca="false">E131-E132</f>
        <v>-40351.9059</v>
      </c>
      <c r="F133" s="0" t="n">
        <f aca="false">F131-F132</f>
        <v>-38563.54645</v>
      </c>
      <c r="G133" s="0" t="n">
        <f aca="false">G131-G132</f>
        <v>-27134.92165</v>
      </c>
      <c r="H133" s="0" t="n">
        <f aca="false">H131-H132</f>
        <v>-34682.6456</v>
      </c>
      <c r="I133" s="0" t="n">
        <f aca="false">I131-I132</f>
        <v>-37730.88545</v>
      </c>
      <c r="J133" s="0" t="n">
        <f aca="false">J131-J132</f>
        <v>-44755.47405</v>
      </c>
      <c r="K133" s="0" t="n">
        <f aca="false">K131-K132</f>
        <v>-32280.5785500001</v>
      </c>
      <c r="L133" s="0" t="n">
        <f aca="false">L131-L132</f>
        <v>-29664.9018</v>
      </c>
      <c r="M133" s="0" t="n">
        <f aca="false">M131-M132</f>
        <v>-36166.35505</v>
      </c>
      <c r="N133" s="0" t="n">
        <f aca="false">N131-N132</f>
        <v>-23168.3242</v>
      </c>
      <c r="O133" s="0" t="n">
        <f aca="false">SUM(C133:N133)</f>
        <v>-418616.6687</v>
      </c>
    </row>
    <row r="134" customFormat="false" ht="15" hidden="false" customHeight="false" outlineLevel="0" collapsed="false">
      <c r="A134" s="0" t="s">
        <v>232</v>
      </c>
      <c r="C134" s="0" t="n">
        <f aca="false">Capital_Allocation!$C$20+C133</f>
        <v>202500</v>
      </c>
      <c r="D134" s="0" t="n">
        <f aca="false">C134+D133</f>
        <v>160882.87</v>
      </c>
      <c r="E134" s="0" t="n">
        <f aca="false">D134+E133</f>
        <v>120530.9641</v>
      </c>
      <c r="F134" s="0" t="n">
        <f aca="false">E134+F133</f>
        <v>81967.41765</v>
      </c>
      <c r="G134" s="0" t="n">
        <f aca="false">F134+G133</f>
        <v>54832.496</v>
      </c>
      <c r="H134" s="0" t="n">
        <f aca="false">G134+H133</f>
        <v>20149.8504</v>
      </c>
      <c r="I134" s="0" t="n">
        <f aca="false">H134+I133</f>
        <v>-17581.0350500001</v>
      </c>
      <c r="J134" s="0" t="n">
        <f aca="false">I134+J133</f>
        <v>-62336.5091000001</v>
      </c>
      <c r="K134" s="0" t="n">
        <f aca="false">J134+K133</f>
        <v>-94617.0876500001</v>
      </c>
      <c r="L134" s="0" t="n">
        <f aca="false">K134+L133</f>
        <v>-124281.98945</v>
      </c>
      <c r="M134" s="0" t="n">
        <f aca="false">L134+M133</f>
        <v>-160448.3445</v>
      </c>
      <c r="N134" s="0" t="n">
        <f aca="false">M134+N133</f>
        <v>-183616.6687</v>
      </c>
    </row>
    <row r="135" customFormat="false" ht="15" hidden="false" customHeight="false" outlineLevel="0" collapsed="false">
      <c r="A135" s="0" t="s">
        <v>233</v>
      </c>
      <c r="C135" s="0" t="n">
        <f aca="false">SUM($C122:C122)-SUM($C131:C131)</f>
        <v>0</v>
      </c>
      <c r="D135" s="0" t="n">
        <f aca="false">SUM($C122:D122)-SUM($C131:D131)</f>
        <v>12023.4375</v>
      </c>
      <c r="E135" s="0" t="n">
        <f aca="false">SUM($C122:E122)-SUM($C131:E131)</f>
        <v>26211.09375</v>
      </c>
      <c r="F135" s="0" t="n">
        <f aca="false">SUM($C122:F122)-SUM($C131:F131)</f>
        <v>42562.96875</v>
      </c>
      <c r="G135" s="0" t="n">
        <f aca="false">SUM($C122:G122)-SUM($C131:G131)</f>
        <v>49055.625</v>
      </c>
      <c r="H135" s="0" t="n">
        <f aca="false">SUM($C122:H122)-SUM($C131:H131)</f>
        <v>67571.71875</v>
      </c>
      <c r="I135" s="0" t="n">
        <f aca="false">SUM($C122:I122)-SUM($C131:I131)</f>
        <v>76228.59375</v>
      </c>
      <c r="J135" s="0" t="n">
        <f aca="false">SUM($C122:J122)-SUM($C131:J131)</f>
        <v>96908.90625</v>
      </c>
      <c r="K135" s="0" t="n">
        <f aca="false">SUM($C122:K122)-SUM($C131:K131)</f>
        <v>107730</v>
      </c>
      <c r="L135" s="0" t="n">
        <f aca="false">SUM($C122:L122)-SUM($C131:L131)</f>
        <v>118551.09375</v>
      </c>
      <c r="M135" s="0" t="n">
        <f aca="false">SUM($C122:M122)-SUM($C131:M131)</f>
        <v>141395.625</v>
      </c>
      <c r="N135" s="0" t="n">
        <f aca="false">SUM($C122:N122)-SUM($C131:N131)</f>
        <v>154380.9375</v>
      </c>
    </row>
    <row r="136" customFormat="false" ht="15" hidden="false" customHeight="false" outlineLevel="0" collapsed="false">
      <c r="A136" s="0" t="s">
        <v>234</v>
      </c>
      <c r="C136" s="0" t="n">
        <f aca="false">SUM($C130:C130)</f>
        <v>-32500</v>
      </c>
      <c r="D136" s="0" t="n">
        <f aca="false">SUM($C130:D130)</f>
        <v>-62093.6925</v>
      </c>
      <c r="E136" s="0" t="n">
        <f aca="false">SUM($C130:E130)</f>
        <v>-88257.94215</v>
      </c>
      <c r="F136" s="0" t="n">
        <f aca="false">SUM($C130:F130)</f>
        <v>-110469.6136</v>
      </c>
      <c r="G136" s="0" t="n">
        <f aca="false">SUM($C130:G130)</f>
        <v>-131111.879</v>
      </c>
      <c r="H136" s="0" t="n">
        <f aca="false">SUM($C130:H130)</f>
        <v>-147278.43085</v>
      </c>
      <c r="I136" s="0" t="n">
        <f aca="false">SUM($C130:I130)</f>
        <v>-176352.4413</v>
      </c>
      <c r="J136" s="0" t="n">
        <f aca="false">SUM($C130:J130)</f>
        <v>-200427.60285</v>
      </c>
      <c r="K136" s="0" t="n">
        <f aca="false">SUM($C130:K130)</f>
        <v>-221887.08765</v>
      </c>
      <c r="L136" s="0" t="n">
        <f aca="false">SUM($C130:L130)</f>
        <v>-240730.8957</v>
      </c>
      <c r="M136" s="0" t="n">
        <f aca="false">SUM($C130:M130)</f>
        <v>-254052.7195</v>
      </c>
      <c r="N136" s="0" t="n">
        <f aca="false">SUM($C130:N130)</f>
        <v>-264235.7312</v>
      </c>
    </row>
    <row r="137" customFormat="false" ht="15" hidden="false" customHeight="false" outlineLevel="0" collapsed="false">
      <c r="A137" s="0" t="s">
        <v>235</v>
      </c>
      <c r="C137" s="0" t="n">
        <f aca="false">IF(C130&gt;=0,C116,99)</f>
        <v>99</v>
      </c>
      <c r="D137" s="0" t="n">
        <f aca="false">IF(D130&gt;=0,D116,99)</f>
        <v>99</v>
      </c>
      <c r="E137" s="0" t="n">
        <f aca="false">IF(E130&gt;=0,E116,99)</f>
        <v>99</v>
      </c>
      <c r="F137" s="0" t="n">
        <f aca="false">IF(F130&gt;=0,F116,99)</f>
        <v>99</v>
      </c>
      <c r="G137" s="0" t="n">
        <f aca="false">IF(G130&gt;=0,G116,99)</f>
        <v>99</v>
      </c>
      <c r="H137" s="0" t="n">
        <f aca="false">IF(H130&gt;=0,H116,99)</f>
        <v>99</v>
      </c>
      <c r="I137" s="0" t="n">
        <f aca="false">IF(I130&gt;=0,I116,99)</f>
        <v>99</v>
      </c>
      <c r="J137" s="0" t="n">
        <f aca="false">IF(J130&gt;=0,J116,99)</f>
        <v>99</v>
      </c>
      <c r="K137" s="0" t="n">
        <f aca="false">IF(K130&gt;=0,K116,99)</f>
        <v>99</v>
      </c>
      <c r="L137" s="0" t="n">
        <f aca="false">IF(L130&gt;=0,L116,99)</f>
        <v>99</v>
      </c>
      <c r="M137" s="0" t="n">
        <f aca="false">IF(M130&gt;=0,M116,99)</f>
        <v>99</v>
      </c>
      <c r="N137" s="0" t="n">
        <f aca="false">IF(N130&gt;=0,N116,99)</f>
        <v>99</v>
      </c>
    </row>
    <row r="138" customFormat="false" ht="15" hidden="false" customHeight="false" outlineLevel="0" collapsed="false">
      <c r="A138" s="0" t="s">
        <v>236</v>
      </c>
      <c r="C138" s="0" t="n">
        <f aca="false">IF(C128&gt;=0,C116,99)</f>
        <v>99</v>
      </c>
      <c r="D138" s="0" t="n">
        <f aca="false">IF(D128&gt;=0,D116,99)</f>
        <v>99</v>
      </c>
      <c r="E138" s="0" t="n">
        <f aca="false">IF(E128&gt;=0,E116,99)</f>
        <v>99</v>
      </c>
      <c r="F138" s="0" t="n">
        <f aca="false">IF(F128&gt;=0,F116,99)</f>
        <v>99</v>
      </c>
      <c r="G138" s="0" t="n">
        <f aca="false">IF(G128&gt;=0,G116,99)</f>
        <v>99</v>
      </c>
      <c r="H138" s="0" t="n">
        <f aca="false">IF(H128&gt;=0,H116,99)</f>
        <v>99</v>
      </c>
      <c r="I138" s="0" t="n">
        <f aca="false">IF(I128&gt;=0,I116,99)</f>
        <v>99</v>
      </c>
      <c r="J138" s="0" t="n">
        <f aca="false">IF(J128&gt;=0,J116,99)</f>
        <v>99</v>
      </c>
      <c r="K138" s="0" t="n">
        <f aca="false">IF(K128&gt;=0,K116,99)</f>
        <v>99</v>
      </c>
      <c r="L138" s="0" t="n">
        <f aca="false">IF(L128&gt;=0,L116,99)</f>
        <v>99</v>
      </c>
      <c r="M138" s="0" t="n">
        <f aca="false">IF(M128&gt;=0,M116,99)</f>
        <v>11</v>
      </c>
      <c r="N138" s="0" t="n">
        <f aca="false">IF(N128&gt;=0,N116,99)</f>
        <v>12</v>
      </c>
    </row>
    <row r="139" customFormat="false" ht="15" hidden="false" customHeight="false" outlineLevel="0" collapsed="false">
      <c r="A139" s="5" t="s">
        <v>237</v>
      </c>
      <c r="B139" s="3" t="n">
        <f aca="false">O122</f>
        <v>1785240</v>
      </c>
    </row>
    <row r="140" customFormat="false" ht="15" hidden="false" customHeight="false" outlineLevel="0" collapsed="false">
      <c r="A140" s="5" t="s">
        <v>238</v>
      </c>
      <c r="B140" s="3" t="n">
        <f aca="false">O125</f>
        <v>215764.2688</v>
      </c>
    </row>
    <row r="141" customFormat="false" ht="15" hidden="false" customHeight="false" outlineLevel="0" collapsed="false">
      <c r="A141" s="5" t="s">
        <v>239</v>
      </c>
      <c r="B141" s="3" t="n">
        <f aca="false">O130</f>
        <v>-264235.7312</v>
      </c>
    </row>
    <row r="142" customFormat="false" ht="15" hidden="false" customHeight="false" outlineLevel="0" collapsed="false">
      <c r="A142" s="5" t="s">
        <v>240</v>
      </c>
      <c r="B142" s="3" t="n">
        <f aca="false">MIN(C134:N134)</f>
        <v>-183616.6687</v>
      </c>
    </row>
    <row r="143" customFormat="false" ht="15" hidden="false" customHeight="false" outlineLevel="0" collapsed="false">
      <c r="A143" s="5" t="s">
        <v>241</v>
      </c>
      <c r="B143" s="3" t="n">
        <f aca="false">N134</f>
        <v>-183616.6687</v>
      </c>
    </row>
    <row r="144" customFormat="false" ht="15" hidden="false" customHeight="false" outlineLevel="0" collapsed="false">
      <c r="A144" s="5" t="s">
        <v>242</v>
      </c>
      <c r="B144" s="0" t="str">
        <f aca="false">IF(B142&gt;=0,"YES","NO")</f>
        <v>NO</v>
      </c>
    </row>
    <row r="145" customFormat="false" ht="15" hidden="false" customHeight="false" outlineLevel="0" collapsed="false">
      <c r="A145" s="5" t="s">
        <v>243</v>
      </c>
      <c r="B145" s="0" t="str">
        <f aca="false">IF(B142&gt;=Capital_Allocation!$C$16,"YES","NO")</f>
        <v>NO</v>
      </c>
    </row>
    <row r="146" customFormat="false" ht="15" hidden="false" customHeight="false" outlineLevel="0" collapsed="false">
      <c r="A146" s="5" t="s">
        <v>244</v>
      </c>
      <c r="B146" s="3" t="n">
        <f aca="false">IF(MIN(C138:N138)=99,"none in 12 mo",MIN(C138:N138))</f>
        <v>11</v>
      </c>
    </row>
    <row r="147" customFormat="false" ht="15" hidden="false" customHeight="false" outlineLevel="0" collapsed="false">
      <c r="A147" s="5" t="s">
        <v>245</v>
      </c>
      <c r="B147" s="3" t="n">
        <f aca="false">N130</f>
        <v>-10183.0117</v>
      </c>
    </row>
    <row r="148" customFormat="false" ht="15" hidden="false" customHeight="false" outlineLevel="0" collapsed="false">
      <c r="A148" s="5" t="s">
        <v>246</v>
      </c>
      <c r="B148" s="3" t="n">
        <f aca="false">N135</f>
        <v>154380.9375</v>
      </c>
    </row>
    <row r="149" customFormat="false" ht="15" hidden="false" customHeight="false" outlineLevel="0" collapsed="false">
      <c r="A149" s="5" t="s">
        <v>247</v>
      </c>
      <c r="B149" s="0" t="str">
        <f aca="false">IF(MIN(C137:N137)=99,"none in 12 mo",MIN(C137:N137))</f>
        <v>none in 12 mo</v>
      </c>
    </row>
    <row r="153" customFormat="false" ht="15" hidden="false" customHeight="false" outlineLevel="0" collapsed="false">
      <c r="A153" s="5" t="s">
        <v>251</v>
      </c>
      <c r="P153" s="3" t="s">
        <v>214</v>
      </c>
      <c r="Q153" s="3" t="n">
        <f aca="false">MAX(1,ROUNDUP((Assumptions!$B$10+Scenario_Inputs!$F$19)/30,0))</f>
        <v>1</v>
      </c>
    </row>
    <row r="154" customFormat="false" ht="15" hidden="false" customHeight="false" outlineLevel="0" collapsed="false">
      <c r="A154" s="0" t="s">
        <v>66</v>
      </c>
      <c r="C154" s="0" t="n">
        <v>1</v>
      </c>
      <c r="D154" s="0" t="n">
        <v>2</v>
      </c>
      <c r="E154" s="0" t="n">
        <v>3</v>
      </c>
      <c r="F154" s="0" t="n">
        <v>4</v>
      </c>
      <c r="G154" s="0" t="n">
        <v>5</v>
      </c>
      <c r="H154" s="0" t="n">
        <v>6</v>
      </c>
      <c r="I154" s="0" t="n">
        <v>7</v>
      </c>
      <c r="J154" s="0" t="n">
        <v>8</v>
      </c>
      <c r="K154" s="0" t="n">
        <v>9</v>
      </c>
      <c r="L154" s="0" t="n">
        <v>10</v>
      </c>
      <c r="M154" s="0" t="n">
        <v>11</v>
      </c>
      <c r="N154" s="0" t="n">
        <v>12</v>
      </c>
      <c r="O154" s="5" t="s">
        <v>215</v>
      </c>
    </row>
    <row r="155" customFormat="false" ht="15" hidden="false" customHeight="false" outlineLevel="0" collapsed="false">
      <c r="A155" s="0" t="s">
        <v>216</v>
      </c>
      <c r="C155" s="0" t="n">
        <f aca="false">Assumptions!B$33*Scenario_Inputs!$D$19</f>
        <v>0</v>
      </c>
      <c r="D155" s="0" t="n">
        <f aca="false">Assumptions!C$33*Scenario_Inputs!$D$19</f>
        <v>1</v>
      </c>
      <c r="E155" s="0" t="n">
        <f aca="false">Assumptions!D$33*Scenario_Inputs!$D$19</f>
        <v>2</v>
      </c>
      <c r="F155" s="0" t="n">
        <f aca="false">Assumptions!E$33*Scenario_Inputs!$D$19</f>
        <v>3</v>
      </c>
      <c r="G155" s="0" t="n">
        <f aca="false">Assumptions!F$33*Scenario_Inputs!$D$19</f>
        <v>3</v>
      </c>
      <c r="H155" s="0" t="n">
        <f aca="false">Assumptions!G$33*Scenario_Inputs!$D$19</f>
        <v>4</v>
      </c>
      <c r="I155" s="0" t="n">
        <f aca="false">Assumptions!H$33*Scenario_Inputs!$D$19</f>
        <v>4</v>
      </c>
      <c r="J155" s="0" t="n">
        <f aca="false">Assumptions!I$33*Scenario_Inputs!$D$19</f>
        <v>5</v>
      </c>
      <c r="K155" s="0" t="n">
        <f aca="false">Assumptions!J$33*Scenario_Inputs!$D$19</f>
        <v>5</v>
      </c>
      <c r="L155" s="0" t="n">
        <f aca="false">Assumptions!K$33*Scenario_Inputs!$D$19</f>
        <v>5</v>
      </c>
      <c r="M155" s="0" t="n">
        <f aca="false">Assumptions!L$33*Scenario_Inputs!$D$19</f>
        <v>6</v>
      </c>
      <c r="N155" s="0" t="n">
        <f aca="false">Assumptions!M$33*Scenario_Inputs!$D$19</f>
        <v>6</v>
      </c>
      <c r="O155" s="0" t="n">
        <f aca="false">SUM(C155:N155)</f>
        <v>44</v>
      </c>
    </row>
    <row r="156" customFormat="false" ht="15" hidden="false" customHeight="false" outlineLevel="0" collapsed="false">
      <c r="A156" s="0" t="s">
        <v>217</v>
      </c>
      <c r="C156" s="0" t="n">
        <v>0</v>
      </c>
      <c r="D156" s="0" t="n">
        <f aca="false">SUM($C155:C155)</f>
        <v>0</v>
      </c>
      <c r="E156" s="0" t="n">
        <f aca="false">SUM($C155:D155)</f>
        <v>1</v>
      </c>
      <c r="F156" s="0" t="n">
        <f aca="false">SUM($C155:E155)</f>
        <v>3</v>
      </c>
      <c r="G156" s="0" t="n">
        <f aca="false">SUM($C155:F155)</f>
        <v>6</v>
      </c>
      <c r="H156" s="0" t="n">
        <f aca="false">SUM($C155:G155)</f>
        <v>9</v>
      </c>
      <c r="I156" s="0" t="n">
        <f aca="false">SUM($C155:H155)</f>
        <v>13</v>
      </c>
      <c r="J156" s="0" t="n">
        <f aca="false">SUM($C155:I155)</f>
        <v>17</v>
      </c>
      <c r="K156" s="0" t="n">
        <f aca="false">SUM($C155:J155)</f>
        <v>22</v>
      </c>
      <c r="L156" s="0" t="n">
        <f aca="false">SUM($C155:K155)</f>
        <v>27</v>
      </c>
      <c r="M156" s="0" t="n">
        <f aca="false">SUM($C155:L155)</f>
        <v>32</v>
      </c>
      <c r="N156" s="0" t="n">
        <f aca="false">SUM($C155:M155)</f>
        <v>38</v>
      </c>
    </row>
    <row r="157" customFormat="false" ht="15" hidden="false" customHeight="false" outlineLevel="0" collapsed="false">
      <c r="A157" s="0" t="s">
        <v>218</v>
      </c>
      <c r="C157" s="0" t="n">
        <f aca="false">C156*Assumptions!$B$11*Scenario_Inputs!$E$19</f>
        <v>0</v>
      </c>
      <c r="D157" s="0" t="n">
        <f aca="false">D156*Assumptions!$B$11*Scenario_Inputs!$E$19</f>
        <v>0</v>
      </c>
      <c r="E157" s="0" t="n">
        <f aca="false">E156*Assumptions!$B$11*Scenario_Inputs!$E$19</f>
        <v>0.18</v>
      </c>
      <c r="F157" s="0" t="n">
        <f aca="false">F156*Assumptions!$B$11*Scenario_Inputs!$E$19</f>
        <v>0.54</v>
      </c>
      <c r="G157" s="0" t="n">
        <f aca="false">G156*Assumptions!$B$11*Scenario_Inputs!$E$19</f>
        <v>1.08</v>
      </c>
      <c r="H157" s="0" t="n">
        <f aca="false">H156*Assumptions!$B$11*Scenario_Inputs!$E$19</f>
        <v>1.62</v>
      </c>
      <c r="I157" s="0" t="n">
        <f aca="false">I156*Assumptions!$B$11*Scenario_Inputs!$E$19</f>
        <v>2.34</v>
      </c>
      <c r="J157" s="0" t="n">
        <f aca="false">J156*Assumptions!$B$11*Scenario_Inputs!$E$19</f>
        <v>3.06</v>
      </c>
      <c r="K157" s="0" t="n">
        <f aca="false">K156*Assumptions!$B$11*Scenario_Inputs!$E$19</f>
        <v>3.96</v>
      </c>
      <c r="L157" s="0" t="n">
        <f aca="false">L156*Assumptions!$B$11*Scenario_Inputs!$E$19</f>
        <v>4.86</v>
      </c>
      <c r="M157" s="0" t="n">
        <f aca="false">M156*Assumptions!$B$11*Scenario_Inputs!$E$19</f>
        <v>5.76</v>
      </c>
      <c r="N157" s="0" t="n">
        <f aca="false">N156*Assumptions!$B$11*Scenario_Inputs!$E$19</f>
        <v>6.84</v>
      </c>
      <c r="O157" s="0" t="n">
        <f aca="false">SUM(C157:N157)</f>
        <v>30.24</v>
      </c>
    </row>
    <row r="158" customFormat="false" ht="15" hidden="false" customHeight="false" outlineLevel="0" collapsed="false">
      <c r="A158" s="0" t="s">
        <v>219</v>
      </c>
      <c r="C158" s="0" t="n">
        <f aca="false">C155+C157</f>
        <v>0</v>
      </c>
      <c r="D158" s="0" t="n">
        <f aca="false">D155+D157</f>
        <v>1</v>
      </c>
      <c r="E158" s="0" t="n">
        <f aca="false">E155+E157</f>
        <v>2.18</v>
      </c>
      <c r="F158" s="0" t="n">
        <f aca="false">F155+F157</f>
        <v>3.54</v>
      </c>
      <c r="G158" s="0" t="n">
        <f aca="false">G155+G157</f>
        <v>4.08</v>
      </c>
      <c r="H158" s="0" t="n">
        <f aca="false">H155+H157</f>
        <v>5.62</v>
      </c>
      <c r="I158" s="0" t="n">
        <f aca="false">I155+I157</f>
        <v>6.34</v>
      </c>
      <c r="J158" s="0" t="n">
        <f aca="false">J155+J157</f>
        <v>8.06</v>
      </c>
      <c r="K158" s="0" t="n">
        <f aca="false">K155+K157</f>
        <v>8.96</v>
      </c>
      <c r="L158" s="0" t="n">
        <f aca="false">L155+L157</f>
        <v>9.86</v>
      </c>
      <c r="M158" s="0" t="n">
        <f aca="false">M155+M157</f>
        <v>11.76</v>
      </c>
      <c r="N158" s="0" t="n">
        <f aca="false">N155+N157</f>
        <v>12.84</v>
      </c>
      <c r="O158" s="0" t="n">
        <f aca="false">SUM(C158:N158)</f>
        <v>74.24</v>
      </c>
    </row>
    <row r="159" customFormat="false" ht="15" hidden="false" customHeight="false" outlineLevel="0" collapsed="false">
      <c r="A159" s="0" t="s">
        <v>220</v>
      </c>
      <c r="C159" s="0" t="n">
        <f aca="false">C158*Assumptions!$B$5*Scenario_Inputs!G$20</f>
        <v>0</v>
      </c>
      <c r="D159" s="0" t="n">
        <f aca="false">D158*Assumptions!$B$5*Scenario_Inputs!H$20</f>
        <v>26718.75</v>
      </c>
      <c r="E159" s="0" t="n">
        <f aca="false">E158*Assumptions!$B$5*Scenario_Inputs!I$20</f>
        <v>58246.875</v>
      </c>
      <c r="F159" s="0" t="n">
        <f aca="false">F158*Assumptions!$B$5*Scenario_Inputs!J$20</f>
        <v>94584.375</v>
      </c>
      <c r="G159" s="0" t="n">
        <f aca="false">G158*Assumptions!$B$5*Scenario_Inputs!K$20</f>
        <v>109012.5</v>
      </c>
      <c r="H159" s="0" t="n">
        <f aca="false">H158*Assumptions!$B$5*Scenario_Inputs!L$20</f>
        <v>150159.375</v>
      </c>
      <c r="I159" s="0" t="n">
        <f aca="false">I158*Assumptions!$B$5*Scenario_Inputs!M$20</f>
        <v>169396.875</v>
      </c>
      <c r="J159" s="0" t="n">
        <f aca="false">J158*Assumptions!$B$5*Scenario_Inputs!N$20</f>
        <v>215353.125</v>
      </c>
      <c r="K159" s="0" t="n">
        <f aca="false">K158*Assumptions!$B$5*Scenario_Inputs!O$20</f>
        <v>239400</v>
      </c>
      <c r="L159" s="0" t="n">
        <f aca="false">L158*Assumptions!$B$5*Scenario_Inputs!P$20</f>
        <v>263446.875</v>
      </c>
      <c r="M159" s="0" t="n">
        <f aca="false">M158*Assumptions!$B$5*Scenario_Inputs!Q$20</f>
        <v>314212.5</v>
      </c>
      <c r="N159" s="0" t="n">
        <f aca="false">N158*Assumptions!$B$5*Scenario_Inputs!R$20</f>
        <v>343068.75</v>
      </c>
      <c r="O159" s="0" t="n">
        <f aca="false">SUM(C159:N159)</f>
        <v>1983600</v>
      </c>
    </row>
    <row r="160" customFormat="false" ht="15" hidden="false" customHeight="false" outlineLevel="0" collapsed="false">
      <c r="A160" s="0" t="s">
        <v>221</v>
      </c>
      <c r="C160" s="0" t="n">
        <f aca="false">C159*Scenario_Inputs!$B$19</f>
        <v>0</v>
      </c>
      <c r="D160" s="0" t="n">
        <f aca="false">D159*Scenario_Inputs!$B$19</f>
        <v>26718.75</v>
      </c>
      <c r="E160" s="0" t="n">
        <f aca="false">E159*Scenario_Inputs!$B$19</f>
        <v>58246.875</v>
      </c>
      <c r="F160" s="0" t="n">
        <f aca="false">F159*Scenario_Inputs!$B$19</f>
        <v>94584.375</v>
      </c>
      <c r="G160" s="0" t="n">
        <f aca="false">G159*Scenario_Inputs!$B$19</f>
        <v>109012.5</v>
      </c>
      <c r="H160" s="0" t="n">
        <f aca="false">H159*Scenario_Inputs!$B$19</f>
        <v>150159.375</v>
      </c>
      <c r="I160" s="0" t="n">
        <f aca="false">I159*Scenario_Inputs!$B$19</f>
        <v>169396.875</v>
      </c>
      <c r="J160" s="0" t="n">
        <f aca="false">J159*Scenario_Inputs!$B$19</f>
        <v>215353.125</v>
      </c>
      <c r="K160" s="0" t="n">
        <f aca="false">K159*Scenario_Inputs!$B$19</f>
        <v>239400</v>
      </c>
      <c r="L160" s="0" t="n">
        <f aca="false">L159*Scenario_Inputs!$B$19</f>
        <v>263446.875</v>
      </c>
      <c r="M160" s="0" t="n">
        <f aca="false">M159*Scenario_Inputs!$B$19</f>
        <v>314212.5</v>
      </c>
      <c r="N160" s="0" t="n">
        <f aca="false">N159*Scenario_Inputs!$B$19</f>
        <v>343068.75</v>
      </c>
      <c r="O160" s="0" t="n">
        <f aca="false">SUM(C160:N160)</f>
        <v>1983600</v>
      </c>
    </row>
    <row r="161" customFormat="false" ht="15" hidden="false" customHeight="false" outlineLevel="0" collapsed="false">
      <c r="A161" s="0" t="s">
        <v>222</v>
      </c>
      <c r="C161" s="0" t="n">
        <f aca="false">C159*(1-Assumptions!$B$6)*Scenario_Inputs!$C$19*(1+(1-Assumptions!$B$26)*Assumptions!$B$21*Assumptions!$B$27)</f>
        <v>0</v>
      </c>
      <c r="D161" s="0" t="n">
        <f aca="false">D159*(1-Assumptions!$B$6)*Scenario_Inputs!$C$19*(1+(1-Assumptions!$B$26)*Assumptions!$B$21*Assumptions!$B$27)</f>
        <v>21667.5305</v>
      </c>
      <c r="E161" s="0" t="n">
        <f aca="false">E159*(1-Assumptions!$B$6)*Scenario_Inputs!$C$19*(1+(1-Assumptions!$B$26)*Assumptions!$B$21*Assumptions!$B$27)</f>
        <v>47235.21649</v>
      </c>
      <c r="F161" s="0" t="n">
        <f aca="false">F159*(1-Assumptions!$B$6)*Scenario_Inputs!$C$19*(1+(1-Assumptions!$B$26)*Assumptions!$B$21*Assumptions!$B$27)</f>
        <v>76703.05797</v>
      </c>
      <c r="G161" s="0" t="n">
        <f aca="false">G159*(1-Assumptions!$B$6)*Scenario_Inputs!$C$19*(1+(1-Assumptions!$B$26)*Assumptions!$B$21*Assumptions!$B$27)</f>
        <v>88403.52444</v>
      </c>
      <c r="H161" s="0" t="n">
        <f aca="false">H159*(1-Assumptions!$B$6)*Scenario_Inputs!$C$19*(1+(1-Assumptions!$B$26)*Assumptions!$B$21*Assumptions!$B$27)</f>
        <v>121771.52141</v>
      </c>
      <c r="I161" s="0" t="n">
        <f aca="false">I159*(1-Assumptions!$B$6)*Scenario_Inputs!$C$19*(1+(1-Assumptions!$B$26)*Assumptions!$B$21*Assumptions!$B$27)</f>
        <v>137372.14337</v>
      </c>
      <c r="J161" s="0" t="n">
        <f aca="false">J159*(1-Assumptions!$B$6)*Scenario_Inputs!$C$19*(1+(1-Assumptions!$B$26)*Assumptions!$B$21*Assumptions!$B$27)</f>
        <v>174640.29583</v>
      </c>
      <c r="K161" s="0" t="n">
        <f aca="false">K159*(1-Assumptions!$B$6)*Scenario_Inputs!$C$19*(1+(1-Assumptions!$B$26)*Assumptions!$B$21*Assumptions!$B$27)</f>
        <v>194141.07328</v>
      </c>
      <c r="L161" s="0" t="n">
        <f aca="false">L159*(1-Assumptions!$B$6)*Scenario_Inputs!$C$19*(1+(1-Assumptions!$B$26)*Assumptions!$B$21*Assumptions!$B$27)</f>
        <v>213641.85073</v>
      </c>
      <c r="M161" s="0" t="n">
        <f aca="false">M159*(1-Assumptions!$B$6)*Scenario_Inputs!$C$19*(1+(1-Assumptions!$B$26)*Assumptions!$B$21*Assumptions!$B$27)</f>
        <v>254810.15868</v>
      </c>
      <c r="N161" s="0" t="n">
        <f aca="false">N159*(1-Assumptions!$B$6)*Scenario_Inputs!$C$19*(1+(1-Assumptions!$B$26)*Assumptions!$B$21*Assumptions!$B$27)</f>
        <v>278211.09162</v>
      </c>
      <c r="O161" s="0" t="n">
        <f aca="false">SUM(C161:N161)</f>
        <v>1608597.46432</v>
      </c>
    </row>
    <row r="162" customFormat="false" ht="15" hidden="false" customHeight="false" outlineLevel="0" collapsed="false">
      <c r="A162" s="0" t="s">
        <v>223</v>
      </c>
      <c r="C162" s="0" t="n">
        <f aca="false">C160*(Assumptions!$B$7+Assumptions!$B$8)</f>
        <v>0</v>
      </c>
      <c r="D162" s="0" t="n">
        <f aca="false">D160*(Assumptions!$B$7+Assumptions!$B$8)</f>
        <v>1603.125</v>
      </c>
      <c r="E162" s="0" t="n">
        <f aca="false">E160*(Assumptions!$B$7+Assumptions!$B$8)</f>
        <v>3494.8125</v>
      </c>
      <c r="F162" s="0" t="n">
        <f aca="false">F160*(Assumptions!$B$7+Assumptions!$B$8)</f>
        <v>5675.0625</v>
      </c>
      <c r="G162" s="0" t="n">
        <f aca="false">G160*(Assumptions!$B$7+Assumptions!$B$8)</f>
        <v>6540.75</v>
      </c>
      <c r="H162" s="0" t="n">
        <f aca="false">H160*(Assumptions!$B$7+Assumptions!$B$8)</f>
        <v>9009.5625</v>
      </c>
      <c r="I162" s="0" t="n">
        <f aca="false">I160*(Assumptions!$B$7+Assumptions!$B$8)</f>
        <v>10163.8125</v>
      </c>
      <c r="J162" s="0" t="n">
        <f aca="false">J160*(Assumptions!$B$7+Assumptions!$B$8)</f>
        <v>12921.1875</v>
      </c>
      <c r="K162" s="0" t="n">
        <f aca="false">K160*(Assumptions!$B$7+Assumptions!$B$8)</f>
        <v>14364</v>
      </c>
      <c r="L162" s="0" t="n">
        <f aca="false">L160*(Assumptions!$B$7+Assumptions!$B$8)</f>
        <v>15806.8125</v>
      </c>
      <c r="M162" s="0" t="n">
        <f aca="false">M160*(Assumptions!$B$7+Assumptions!$B$8)</f>
        <v>18852.75</v>
      </c>
      <c r="N162" s="0" t="n">
        <f aca="false">N160*(Assumptions!$B$7+Assumptions!$B$8)</f>
        <v>20584.125</v>
      </c>
      <c r="O162" s="0" t="n">
        <f aca="false">SUM(C162:N162)</f>
        <v>119016</v>
      </c>
    </row>
    <row r="163" customFormat="false" ht="15" hidden="false" customHeight="false" outlineLevel="0" collapsed="false">
      <c r="A163" s="0" t="s">
        <v>198</v>
      </c>
      <c r="C163" s="0" t="n">
        <f aca="false">C160-C161-C162</f>
        <v>0</v>
      </c>
      <c r="D163" s="0" t="n">
        <f aca="false">D160-D161-D162</f>
        <v>3448.0945</v>
      </c>
      <c r="E163" s="0" t="n">
        <f aca="false">E160-E161-E162</f>
        <v>7516.84600999999</v>
      </c>
      <c r="F163" s="0" t="n">
        <f aca="false">F160-F161-F162</f>
        <v>12206.25453</v>
      </c>
      <c r="G163" s="0" t="n">
        <f aca="false">G160-G161-G162</f>
        <v>14068.22556</v>
      </c>
      <c r="H163" s="0" t="n">
        <f aca="false">H160-H161-H162</f>
        <v>19378.29109</v>
      </c>
      <c r="I163" s="0" t="n">
        <f aca="false">I160-I161-I162</f>
        <v>21860.91913</v>
      </c>
      <c r="J163" s="0" t="n">
        <f aca="false">J160-J161-J162</f>
        <v>27791.64167</v>
      </c>
      <c r="K163" s="0" t="n">
        <f aca="false">K160-K161-K162</f>
        <v>30894.92672</v>
      </c>
      <c r="L163" s="0" t="n">
        <f aca="false">L160-L161-L162</f>
        <v>33998.21177</v>
      </c>
      <c r="M163" s="0" t="n">
        <f aca="false">M160-M161-M162</f>
        <v>40549.59132</v>
      </c>
      <c r="N163" s="0" t="n">
        <f aca="false">N160-N161-N162</f>
        <v>44273.53338</v>
      </c>
      <c r="O163" s="0" t="n">
        <f aca="false">SUM(C163:N163)</f>
        <v>255986.53568</v>
      </c>
    </row>
    <row r="164" customFormat="false" ht="15" hidden="false" customHeight="false" outlineLevel="0" collapsed="false">
      <c r="A164" s="0" t="s">
        <v>224</v>
      </c>
      <c r="C164" s="0" t="n">
        <f aca="false">Assumptions!$B$29</f>
        <v>32500</v>
      </c>
      <c r="D164" s="0" t="n">
        <f aca="false">Assumptions!$B$29</f>
        <v>32500</v>
      </c>
      <c r="E164" s="0" t="n">
        <f aca="false">Assumptions!$B$29</f>
        <v>32500</v>
      </c>
      <c r="F164" s="0" t="n">
        <f aca="false">Assumptions!$B$29</f>
        <v>32500</v>
      </c>
      <c r="G164" s="0" t="n">
        <f aca="false">Assumptions!$B$29</f>
        <v>32500</v>
      </c>
      <c r="H164" s="0" t="n">
        <f aca="false">Assumptions!$B$29</f>
        <v>32500</v>
      </c>
      <c r="I164" s="0" t="n">
        <f aca="false">Assumptions!$B$29</f>
        <v>32500</v>
      </c>
      <c r="J164" s="0" t="n">
        <f aca="false">Assumptions!$B$29</f>
        <v>32500</v>
      </c>
      <c r="K164" s="0" t="n">
        <f aca="false">Assumptions!$B$29</f>
        <v>32500</v>
      </c>
      <c r="L164" s="0" t="n">
        <f aca="false">Assumptions!$B$29</f>
        <v>32500</v>
      </c>
      <c r="M164" s="0" t="n">
        <f aca="false">Assumptions!$B$29</f>
        <v>32500</v>
      </c>
      <c r="N164" s="0" t="n">
        <f aca="false">Assumptions!$B$29</f>
        <v>32500</v>
      </c>
      <c r="O164" s="0" t="n">
        <f aca="false">SUM(C164:N164)</f>
        <v>390000</v>
      </c>
    </row>
    <row r="165" customFormat="false" ht="15" hidden="false" customHeight="false" outlineLevel="0" collapsed="false">
      <c r="A165" s="0" t="s">
        <v>225</v>
      </c>
      <c r="C165" s="0" t="n">
        <f aca="false">Scenario_Inputs!G$21</f>
        <v>0</v>
      </c>
      <c r="D165" s="0" t="n">
        <f aca="false">Scenario_Inputs!H$21</f>
        <v>0</v>
      </c>
      <c r="E165" s="0" t="n">
        <f aca="false">Scenario_Inputs!I$21</f>
        <v>0</v>
      </c>
      <c r="F165" s="0" t="n">
        <f aca="false">Scenario_Inputs!J$21</f>
        <v>0</v>
      </c>
      <c r="G165" s="0" t="n">
        <f aca="false">Scenario_Inputs!K$21</f>
        <v>0</v>
      </c>
      <c r="H165" s="0" t="n">
        <f aca="false">Scenario_Inputs!L$21</f>
        <v>0</v>
      </c>
      <c r="I165" s="0" t="n">
        <f aca="false">Scenario_Inputs!M$21</f>
        <v>0</v>
      </c>
      <c r="J165" s="0" t="n">
        <f aca="false">Scenario_Inputs!N$21</f>
        <v>0</v>
      </c>
      <c r="K165" s="0" t="n">
        <f aca="false">Scenario_Inputs!O$21</f>
        <v>0</v>
      </c>
      <c r="L165" s="0" t="n">
        <f aca="false">Scenario_Inputs!P$21</f>
        <v>0</v>
      </c>
      <c r="M165" s="0" t="n">
        <f aca="false">Scenario_Inputs!Q$21</f>
        <v>0</v>
      </c>
      <c r="N165" s="0" t="n">
        <f aca="false">Scenario_Inputs!R$21</f>
        <v>0</v>
      </c>
      <c r="O165" s="0" t="n">
        <f aca="false">SUM(C165:N165)</f>
        <v>0</v>
      </c>
    </row>
    <row r="166" customFormat="false" ht="15" hidden="false" customHeight="false" outlineLevel="0" collapsed="false">
      <c r="A166" s="0" t="s">
        <v>226</v>
      </c>
      <c r="C166" s="0" t="n">
        <f aca="false">C163-C164-C165</f>
        <v>-32500</v>
      </c>
      <c r="D166" s="0" t="n">
        <f aca="false">D163-D164-D165</f>
        <v>-29051.9055</v>
      </c>
      <c r="E166" s="0" t="n">
        <f aca="false">E163-E164-E165</f>
        <v>-24983.15399</v>
      </c>
      <c r="F166" s="0" t="n">
        <f aca="false">F163-F164-F165</f>
        <v>-20293.74547</v>
      </c>
      <c r="G166" s="0" t="n">
        <f aca="false">G163-G164-G165</f>
        <v>-18431.77444</v>
      </c>
      <c r="H166" s="0" t="n">
        <f aca="false">H163-H164-H165</f>
        <v>-13121.70891</v>
      </c>
      <c r="I166" s="0" t="n">
        <f aca="false">I163-I164-I165</f>
        <v>-10639.08087</v>
      </c>
      <c r="J166" s="0" t="n">
        <f aca="false">J163-J164-J165</f>
        <v>-4708.35833000002</v>
      </c>
      <c r="K166" s="0" t="n">
        <f aca="false">K163-K164-K165</f>
        <v>-1605.07328000001</v>
      </c>
      <c r="L166" s="0" t="n">
        <f aca="false">L163-L164-L165</f>
        <v>1498.21176999997</v>
      </c>
      <c r="M166" s="0" t="n">
        <f aca="false">M163-M164-M165</f>
        <v>8049.59131999995</v>
      </c>
      <c r="N166" s="0" t="n">
        <f aca="false">N163-N164-N165</f>
        <v>11773.53338</v>
      </c>
      <c r="O166" s="0" t="n">
        <f aca="false">SUM(C166:N166)</f>
        <v>-134013.46432</v>
      </c>
    </row>
    <row r="167" customFormat="false" ht="15" hidden="false" customHeight="false" outlineLevel="0" collapsed="false">
      <c r="A167" s="0" t="s">
        <v>227</v>
      </c>
      <c r="C167" s="0" t="n">
        <f aca="false">IF(C154&gt;=Assumptions!$B$13,Assumptions!$B$12,0)</f>
        <v>0</v>
      </c>
      <c r="D167" s="0" t="n">
        <f aca="false">IF(D154&gt;=Assumptions!$B$13,Assumptions!$B$12,0)</f>
        <v>0</v>
      </c>
      <c r="E167" s="0" t="n">
        <f aca="false">IF(E154&gt;=Assumptions!$B$13,Assumptions!$B$12,0)</f>
        <v>0</v>
      </c>
      <c r="F167" s="0" t="n">
        <f aca="false">IF(F154&gt;=Assumptions!$B$13,Assumptions!$B$12,0)</f>
        <v>0</v>
      </c>
      <c r="G167" s="0" t="n">
        <f aca="false">IF(G154&gt;=Assumptions!$B$13,Assumptions!$B$12,0)</f>
        <v>0</v>
      </c>
      <c r="H167" s="0" t="n">
        <f aca="false">IF(H154&gt;=Assumptions!$B$13,Assumptions!$B$12,0)</f>
        <v>0</v>
      </c>
      <c r="I167" s="0" t="n">
        <f aca="false">IF(I154&gt;=Assumptions!$B$13,Assumptions!$B$12,0)</f>
        <v>15000</v>
      </c>
      <c r="J167" s="0" t="n">
        <f aca="false">IF(J154&gt;=Assumptions!$B$13,Assumptions!$B$12,0)</f>
        <v>15000</v>
      </c>
      <c r="K167" s="0" t="n">
        <f aca="false">IF(K154&gt;=Assumptions!$B$13,Assumptions!$B$12,0)</f>
        <v>15000</v>
      </c>
      <c r="L167" s="0" t="n">
        <f aca="false">IF(L154&gt;=Assumptions!$B$13,Assumptions!$B$12,0)</f>
        <v>15000</v>
      </c>
      <c r="M167" s="0" t="n">
        <f aca="false">IF(M154&gt;=Assumptions!$B$13,Assumptions!$B$12,0)</f>
        <v>15000</v>
      </c>
      <c r="N167" s="0" t="n">
        <f aca="false">IF(N154&gt;=Assumptions!$B$13,Assumptions!$B$12,0)</f>
        <v>15000</v>
      </c>
      <c r="O167" s="0" t="n">
        <f aca="false">SUM(C167:N167)</f>
        <v>90000</v>
      </c>
    </row>
    <row r="168" customFormat="false" ht="15" hidden="false" customHeight="false" outlineLevel="0" collapsed="false">
      <c r="A168" s="0" t="s">
        <v>228</v>
      </c>
      <c r="C168" s="0" t="n">
        <f aca="false">C166-C167</f>
        <v>-32500</v>
      </c>
      <c r="D168" s="0" t="n">
        <f aca="false">D166-D167</f>
        <v>-29051.9055</v>
      </c>
      <c r="E168" s="0" t="n">
        <f aca="false">E166-E167</f>
        <v>-24983.15399</v>
      </c>
      <c r="F168" s="0" t="n">
        <f aca="false">F166-F167</f>
        <v>-20293.74547</v>
      </c>
      <c r="G168" s="0" t="n">
        <f aca="false">G166-G167</f>
        <v>-18431.77444</v>
      </c>
      <c r="H168" s="0" t="n">
        <f aca="false">H166-H167</f>
        <v>-13121.70891</v>
      </c>
      <c r="I168" s="0" t="n">
        <f aca="false">I166-I167</f>
        <v>-25639.08087</v>
      </c>
      <c r="J168" s="0" t="n">
        <f aca="false">J166-J167</f>
        <v>-19708.35833</v>
      </c>
      <c r="K168" s="0" t="n">
        <f aca="false">K166-K167</f>
        <v>-16605.07328</v>
      </c>
      <c r="L168" s="0" t="n">
        <f aca="false">L166-L167</f>
        <v>-13501.78823</v>
      </c>
      <c r="M168" s="0" t="n">
        <f aca="false">M166-M167</f>
        <v>-6950.40868000005</v>
      </c>
      <c r="N168" s="0" t="n">
        <f aca="false">N166-N167</f>
        <v>-3226.46662000002</v>
      </c>
      <c r="O168" s="0" t="n">
        <f aca="false">SUM(C168:N168)</f>
        <v>-224013.46432</v>
      </c>
    </row>
    <row r="169" customFormat="false" ht="15" hidden="false" customHeight="false" outlineLevel="0" collapsed="false">
      <c r="A169" s="0" t="s">
        <v>229</v>
      </c>
      <c r="C169" s="0" t="n">
        <f aca="false">Assumptions!$B$9*C160+(1-Assumptions!$B$9)*IF(C154-$Q$153&gt;=1,INDEX($C160:$N160,C154-$Q$153),0)</f>
        <v>0</v>
      </c>
      <c r="D169" s="0" t="n">
        <f aca="false">Assumptions!$B$9*D160+(1-Assumptions!$B$9)*IF(D154-$Q$153&gt;=1,INDEX($C160:$N160,D154-$Q$153),0)</f>
        <v>13359.375</v>
      </c>
      <c r="E169" s="0" t="n">
        <f aca="false">Assumptions!$B$9*E160+(1-Assumptions!$B$9)*IF(E154-$Q$153&gt;=1,INDEX($C160:$N160,E154-$Q$153),0)</f>
        <v>42482.8125</v>
      </c>
      <c r="F169" s="0" t="n">
        <f aca="false">Assumptions!$B$9*F160+(1-Assumptions!$B$9)*IF(F154-$Q$153&gt;=1,INDEX($C160:$N160,F154-$Q$153),0)</f>
        <v>76415.625</v>
      </c>
      <c r="G169" s="0" t="n">
        <f aca="false">Assumptions!$B$9*G160+(1-Assumptions!$B$9)*IF(G154-$Q$153&gt;=1,INDEX($C160:$N160,G154-$Q$153),0)</f>
        <v>101798.4375</v>
      </c>
      <c r="H169" s="0" t="n">
        <f aca="false">Assumptions!$B$9*H160+(1-Assumptions!$B$9)*IF(H154-$Q$153&gt;=1,INDEX($C160:$N160,H154-$Q$153),0)</f>
        <v>129585.9375</v>
      </c>
      <c r="I169" s="0" t="n">
        <f aca="false">Assumptions!$B$9*I160+(1-Assumptions!$B$9)*IF(I154-$Q$153&gt;=1,INDEX($C160:$N160,I154-$Q$153),0)</f>
        <v>159778.125</v>
      </c>
      <c r="J169" s="0" t="n">
        <f aca="false">Assumptions!$B$9*J160+(1-Assumptions!$B$9)*IF(J154-$Q$153&gt;=1,INDEX($C160:$N160,J154-$Q$153),0)</f>
        <v>192375</v>
      </c>
      <c r="K169" s="0" t="n">
        <f aca="false">Assumptions!$B$9*K160+(1-Assumptions!$B$9)*IF(K154-$Q$153&gt;=1,INDEX($C160:$N160,K154-$Q$153),0)</f>
        <v>227376.5625</v>
      </c>
      <c r="L169" s="0" t="n">
        <f aca="false">Assumptions!$B$9*L160+(1-Assumptions!$B$9)*IF(L154-$Q$153&gt;=1,INDEX($C160:$N160,L154-$Q$153),0)</f>
        <v>251423.4375</v>
      </c>
      <c r="M169" s="0" t="n">
        <f aca="false">Assumptions!$B$9*M160+(1-Assumptions!$B$9)*IF(M154-$Q$153&gt;=1,INDEX($C160:$N160,M154-$Q$153),0)</f>
        <v>288829.6875</v>
      </c>
      <c r="N169" s="0" t="n">
        <f aca="false">Assumptions!$B$9*N160+(1-Assumptions!$B$9)*IF(N154-$Q$153&gt;=1,INDEX($C160:$N160,N154-$Q$153),0)</f>
        <v>328640.625</v>
      </c>
      <c r="O169" s="0" t="n">
        <f aca="false">SUM(C169:N169)</f>
        <v>1812065.625</v>
      </c>
    </row>
    <row r="170" customFormat="false" ht="15" hidden="false" customHeight="false" outlineLevel="0" collapsed="false">
      <c r="A170" s="0" t="s">
        <v>230</v>
      </c>
      <c r="C170" s="0" t="n">
        <f aca="false">C161+C162+C164+C165+C167</f>
        <v>32500</v>
      </c>
      <c r="D170" s="0" t="n">
        <f aca="false">D161+D162+D164+D165+D167</f>
        <v>55770.6555</v>
      </c>
      <c r="E170" s="0" t="n">
        <f aca="false">E161+E162+E164+E165+E167</f>
        <v>83230.02899</v>
      </c>
      <c r="F170" s="0" t="n">
        <f aca="false">F161+F162+F164+F165+F167</f>
        <v>114878.12047</v>
      </c>
      <c r="G170" s="0" t="n">
        <f aca="false">G161+G162+G164+G165+G167</f>
        <v>127444.27444</v>
      </c>
      <c r="H170" s="0" t="n">
        <f aca="false">H161+H162+H164+H165+H167</f>
        <v>163281.08391</v>
      </c>
      <c r="I170" s="0" t="n">
        <f aca="false">I161+I162+I164+I165+I167</f>
        <v>195035.95587</v>
      </c>
      <c r="J170" s="0" t="n">
        <f aca="false">J161+J162+J164+J165+J167</f>
        <v>235061.48333</v>
      </c>
      <c r="K170" s="0" t="n">
        <f aca="false">K161+K162+K164+K165+K167</f>
        <v>256005.07328</v>
      </c>
      <c r="L170" s="0" t="n">
        <f aca="false">L161+L162+L164+L165+L167</f>
        <v>276948.66323</v>
      </c>
      <c r="M170" s="0" t="n">
        <f aca="false">M161+M162+M164+M165+M167</f>
        <v>321162.90868</v>
      </c>
      <c r="N170" s="0" t="n">
        <f aca="false">N161+N162+N164+N165+N167</f>
        <v>346295.21662</v>
      </c>
      <c r="O170" s="0" t="n">
        <f aca="false">SUM(C170:N170)</f>
        <v>2207613.46432</v>
      </c>
    </row>
    <row r="171" customFormat="false" ht="15" hidden="false" customHeight="false" outlineLevel="0" collapsed="false">
      <c r="A171" s="0" t="s">
        <v>231</v>
      </c>
      <c r="C171" s="0" t="n">
        <f aca="false">C169-C170</f>
        <v>-32500</v>
      </c>
      <c r="D171" s="0" t="n">
        <f aca="false">D169-D170</f>
        <v>-42411.2805</v>
      </c>
      <c r="E171" s="0" t="n">
        <f aca="false">E169-E170</f>
        <v>-40747.21649</v>
      </c>
      <c r="F171" s="0" t="n">
        <f aca="false">F169-F170</f>
        <v>-38462.49547</v>
      </c>
      <c r="G171" s="0" t="n">
        <f aca="false">G169-G170</f>
        <v>-25645.83694</v>
      </c>
      <c r="H171" s="0" t="n">
        <f aca="false">H169-H170</f>
        <v>-33695.14641</v>
      </c>
      <c r="I171" s="0" t="n">
        <f aca="false">I169-I170</f>
        <v>-35257.83087</v>
      </c>
      <c r="J171" s="0" t="n">
        <f aca="false">J169-J170</f>
        <v>-42686.48333</v>
      </c>
      <c r="K171" s="0" t="n">
        <f aca="false">K169-K170</f>
        <v>-28628.51078</v>
      </c>
      <c r="L171" s="0" t="n">
        <f aca="false">L169-L170</f>
        <v>-25525.2257300001</v>
      </c>
      <c r="M171" s="0" t="n">
        <f aca="false">M169-M170</f>
        <v>-32333.2211800001</v>
      </c>
      <c r="N171" s="0" t="n">
        <f aca="false">N169-N170</f>
        <v>-17654.59162</v>
      </c>
      <c r="O171" s="0" t="n">
        <f aca="false">SUM(C171:N171)</f>
        <v>-395547.83932</v>
      </c>
    </row>
    <row r="172" customFormat="false" ht="15" hidden="false" customHeight="false" outlineLevel="0" collapsed="false">
      <c r="A172" s="0" t="s">
        <v>232</v>
      </c>
      <c r="C172" s="0" t="n">
        <f aca="false">Capital_Allocation!$C$20+C171</f>
        <v>202500</v>
      </c>
      <c r="D172" s="0" t="n">
        <f aca="false">C172+D171</f>
        <v>160088.7195</v>
      </c>
      <c r="E172" s="0" t="n">
        <f aca="false">D172+E171</f>
        <v>119341.50301</v>
      </c>
      <c r="F172" s="0" t="n">
        <f aca="false">E172+F171</f>
        <v>80879.00754</v>
      </c>
      <c r="G172" s="0" t="n">
        <f aca="false">F172+G171</f>
        <v>55233.1706</v>
      </c>
      <c r="H172" s="0" t="n">
        <f aca="false">G172+H171</f>
        <v>21538.0241899999</v>
      </c>
      <c r="I172" s="0" t="n">
        <f aca="false">H172+I171</f>
        <v>-13719.8066800001</v>
      </c>
      <c r="J172" s="0" t="n">
        <f aca="false">I172+J171</f>
        <v>-56406.2900100001</v>
      </c>
      <c r="K172" s="0" t="n">
        <f aca="false">J172+K171</f>
        <v>-85034.8007900002</v>
      </c>
      <c r="L172" s="0" t="n">
        <f aca="false">K172+L171</f>
        <v>-110560.02652</v>
      </c>
      <c r="M172" s="0" t="n">
        <f aca="false">L172+M171</f>
        <v>-142893.2477</v>
      </c>
      <c r="N172" s="0" t="n">
        <f aca="false">M172+N171</f>
        <v>-160547.83932</v>
      </c>
    </row>
    <row r="173" customFormat="false" ht="15" hidden="false" customHeight="false" outlineLevel="0" collapsed="false">
      <c r="A173" s="0" t="s">
        <v>233</v>
      </c>
      <c r="C173" s="0" t="n">
        <f aca="false">SUM($C160:C160)-SUM($C169:C169)</f>
        <v>0</v>
      </c>
      <c r="D173" s="0" t="n">
        <f aca="false">SUM($C160:D160)-SUM($C169:D169)</f>
        <v>13359.375</v>
      </c>
      <c r="E173" s="0" t="n">
        <f aca="false">SUM($C160:E160)-SUM($C169:E169)</f>
        <v>29123.4375</v>
      </c>
      <c r="F173" s="0" t="n">
        <f aca="false">SUM($C160:F160)-SUM($C169:F169)</f>
        <v>47292.1875</v>
      </c>
      <c r="G173" s="0" t="n">
        <f aca="false">SUM($C160:G160)-SUM($C169:G169)</f>
        <v>54506.25</v>
      </c>
      <c r="H173" s="0" t="n">
        <f aca="false">SUM($C160:H160)-SUM($C169:H169)</f>
        <v>75079.6875</v>
      </c>
      <c r="I173" s="0" t="n">
        <f aca="false">SUM($C160:I160)-SUM($C169:I169)</f>
        <v>84698.4375</v>
      </c>
      <c r="J173" s="0" t="n">
        <f aca="false">SUM($C160:J160)-SUM($C169:J169)</f>
        <v>107676.5625</v>
      </c>
      <c r="K173" s="0" t="n">
        <f aca="false">SUM($C160:K160)-SUM($C169:K169)</f>
        <v>119700</v>
      </c>
      <c r="L173" s="0" t="n">
        <f aca="false">SUM($C160:L160)-SUM($C169:L169)</f>
        <v>131723.4375</v>
      </c>
      <c r="M173" s="0" t="n">
        <f aca="false">SUM($C160:M160)-SUM($C169:M169)</f>
        <v>157106.25</v>
      </c>
      <c r="N173" s="0" t="n">
        <f aca="false">SUM($C160:N160)-SUM($C169:N169)</f>
        <v>171534.375</v>
      </c>
    </row>
    <row r="174" customFormat="false" ht="15" hidden="false" customHeight="false" outlineLevel="0" collapsed="false">
      <c r="A174" s="0" t="s">
        <v>234</v>
      </c>
      <c r="C174" s="0" t="n">
        <f aca="false">SUM($C168:C168)</f>
        <v>-32500</v>
      </c>
      <c r="D174" s="0" t="n">
        <f aca="false">SUM($C168:D168)</f>
        <v>-61551.9055</v>
      </c>
      <c r="E174" s="0" t="n">
        <f aca="false">SUM($C168:E168)</f>
        <v>-86535.05949</v>
      </c>
      <c r="F174" s="0" t="n">
        <f aca="false">SUM($C168:F168)</f>
        <v>-106828.80496</v>
      </c>
      <c r="G174" s="0" t="n">
        <f aca="false">SUM($C168:G168)</f>
        <v>-125260.5794</v>
      </c>
      <c r="H174" s="0" t="n">
        <f aca="false">SUM($C168:H168)</f>
        <v>-138382.28831</v>
      </c>
      <c r="I174" s="0" t="n">
        <f aca="false">SUM($C168:I168)</f>
        <v>-164021.36918</v>
      </c>
      <c r="J174" s="0" t="n">
        <f aca="false">SUM($C168:J168)</f>
        <v>-183729.72751</v>
      </c>
      <c r="K174" s="0" t="n">
        <f aca="false">SUM($C168:K168)</f>
        <v>-200334.80079</v>
      </c>
      <c r="L174" s="0" t="n">
        <f aca="false">SUM($C168:L168)</f>
        <v>-213836.58902</v>
      </c>
      <c r="M174" s="0" t="n">
        <f aca="false">SUM($C168:M168)</f>
        <v>-220786.9977</v>
      </c>
      <c r="N174" s="0" t="n">
        <f aca="false">SUM($C168:N168)</f>
        <v>-224013.46432</v>
      </c>
    </row>
    <row r="175" customFormat="false" ht="15" hidden="false" customHeight="false" outlineLevel="0" collapsed="false">
      <c r="A175" s="0" t="s">
        <v>235</v>
      </c>
      <c r="C175" s="0" t="n">
        <f aca="false">IF(C168&gt;=0,C154,99)</f>
        <v>99</v>
      </c>
      <c r="D175" s="0" t="n">
        <f aca="false">IF(D168&gt;=0,D154,99)</f>
        <v>99</v>
      </c>
      <c r="E175" s="0" t="n">
        <f aca="false">IF(E168&gt;=0,E154,99)</f>
        <v>99</v>
      </c>
      <c r="F175" s="0" t="n">
        <f aca="false">IF(F168&gt;=0,F154,99)</f>
        <v>99</v>
      </c>
      <c r="G175" s="0" t="n">
        <f aca="false">IF(G168&gt;=0,G154,99)</f>
        <v>99</v>
      </c>
      <c r="H175" s="0" t="n">
        <f aca="false">IF(H168&gt;=0,H154,99)</f>
        <v>99</v>
      </c>
      <c r="I175" s="0" t="n">
        <f aca="false">IF(I168&gt;=0,I154,99)</f>
        <v>99</v>
      </c>
      <c r="J175" s="0" t="n">
        <f aca="false">IF(J168&gt;=0,J154,99)</f>
        <v>99</v>
      </c>
      <c r="K175" s="0" t="n">
        <f aca="false">IF(K168&gt;=0,K154,99)</f>
        <v>99</v>
      </c>
      <c r="L175" s="0" t="n">
        <f aca="false">IF(L168&gt;=0,L154,99)</f>
        <v>99</v>
      </c>
      <c r="M175" s="0" t="n">
        <f aca="false">IF(M168&gt;=0,M154,99)</f>
        <v>99</v>
      </c>
      <c r="N175" s="0" t="n">
        <f aca="false">IF(N168&gt;=0,N154,99)</f>
        <v>99</v>
      </c>
    </row>
    <row r="176" customFormat="false" ht="15" hidden="false" customHeight="false" outlineLevel="0" collapsed="false">
      <c r="A176" s="0" t="s">
        <v>236</v>
      </c>
      <c r="C176" s="0" t="n">
        <f aca="false">IF(C166&gt;=0,C154,99)</f>
        <v>99</v>
      </c>
      <c r="D176" s="0" t="n">
        <f aca="false">IF(D166&gt;=0,D154,99)</f>
        <v>99</v>
      </c>
      <c r="E176" s="0" t="n">
        <f aca="false">IF(E166&gt;=0,E154,99)</f>
        <v>99</v>
      </c>
      <c r="F176" s="0" t="n">
        <f aca="false">IF(F166&gt;=0,F154,99)</f>
        <v>99</v>
      </c>
      <c r="G176" s="0" t="n">
        <f aca="false">IF(G166&gt;=0,G154,99)</f>
        <v>99</v>
      </c>
      <c r="H176" s="0" t="n">
        <f aca="false">IF(H166&gt;=0,H154,99)</f>
        <v>99</v>
      </c>
      <c r="I176" s="0" t="n">
        <f aca="false">IF(I166&gt;=0,I154,99)</f>
        <v>99</v>
      </c>
      <c r="J176" s="0" t="n">
        <f aca="false">IF(J166&gt;=0,J154,99)</f>
        <v>99</v>
      </c>
      <c r="K176" s="0" t="n">
        <f aca="false">IF(K166&gt;=0,K154,99)</f>
        <v>99</v>
      </c>
      <c r="L176" s="0" t="n">
        <f aca="false">IF(L166&gt;=0,L154,99)</f>
        <v>10</v>
      </c>
      <c r="M176" s="0" t="n">
        <f aca="false">IF(M166&gt;=0,M154,99)</f>
        <v>11</v>
      </c>
      <c r="N176" s="0" t="n">
        <f aca="false">IF(N166&gt;=0,N154,99)</f>
        <v>12</v>
      </c>
    </row>
    <row r="177" customFormat="false" ht="15" hidden="false" customHeight="false" outlineLevel="0" collapsed="false">
      <c r="A177" s="5" t="s">
        <v>237</v>
      </c>
      <c r="B177" s="3" t="n">
        <f aca="false">O160</f>
        <v>1983600</v>
      </c>
    </row>
    <row r="178" customFormat="false" ht="15" hidden="false" customHeight="false" outlineLevel="0" collapsed="false">
      <c r="A178" s="5" t="s">
        <v>238</v>
      </c>
      <c r="B178" s="3" t="n">
        <f aca="false">O163</f>
        <v>255986.53568</v>
      </c>
    </row>
    <row r="179" customFormat="false" ht="15" hidden="false" customHeight="false" outlineLevel="0" collapsed="false">
      <c r="A179" s="5" t="s">
        <v>239</v>
      </c>
      <c r="B179" s="3" t="n">
        <f aca="false">O168</f>
        <v>-224013.46432</v>
      </c>
    </row>
    <row r="180" customFormat="false" ht="15" hidden="false" customHeight="false" outlineLevel="0" collapsed="false">
      <c r="A180" s="5" t="s">
        <v>240</v>
      </c>
      <c r="B180" s="3" t="n">
        <f aca="false">MIN(C172:N172)</f>
        <v>-160547.83932</v>
      </c>
    </row>
    <row r="181" customFormat="false" ht="15" hidden="false" customHeight="false" outlineLevel="0" collapsed="false">
      <c r="A181" s="5" t="s">
        <v>241</v>
      </c>
      <c r="B181" s="3" t="n">
        <f aca="false">N172</f>
        <v>-160547.83932</v>
      </c>
    </row>
    <row r="182" customFormat="false" ht="15" hidden="false" customHeight="false" outlineLevel="0" collapsed="false">
      <c r="A182" s="5" t="s">
        <v>242</v>
      </c>
      <c r="B182" s="0" t="str">
        <f aca="false">IF(B180&gt;=0,"YES","NO")</f>
        <v>NO</v>
      </c>
    </row>
    <row r="183" customFormat="false" ht="15" hidden="false" customHeight="false" outlineLevel="0" collapsed="false">
      <c r="A183" s="5" t="s">
        <v>243</v>
      </c>
      <c r="B183" s="0" t="str">
        <f aca="false">IF(B180&gt;=Capital_Allocation!$C$16,"YES","NO")</f>
        <v>NO</v>
      </c>
    </row>
    <row r="184" customFormat="false" ht="15" hidden="false" customHeight="false" outlineLevel="0" collapsed="false">
      <c r="A184" s="5" t="s">
        <v>244</v>
      </c>
      <c r="B184" s="3" t="n">
        <f aca="false">IF(MIN(C176:N176)=99,"none in 12 mo",MIN(C176:N176))</f>
        <v>10</v>
      </c>
    </row>
    <row r="185" customFormat="false" ht="15" hidden="false" customHeight="false" outlineLevel="0" collapsed="false">
      <c r="A185" s="5" t="s">
        <v>245</v>
      </c>
      <c r="B185" s="3" t="n">
        <f aca="false">N168</f>
        <v>-3226.46662000002</v>
      </c>
    </row>
    <row r="186" customFormat="false" ht="15" hidden="false" customHeight="false" outlineLevel="0" collapsed="false">
      <c r="A186" s="5" t="s">
        <v>246</v>
      </c>
      <c r="B186" s="3" t="n">
        <f aca="false">N173</f>
        <v>171534.375</v>
      </c>
    </row>
    <row r="187" customFormat="false" ht="15" hidden="false" customHeight="false" outlineLevel="0" collapsed="false">
      <c r="A187" s="5" t="s">
        <v>247</v>
      </c>
      <c r="B187" s="0" t="str">
        <f aca="false">IF(MIN(C175:N175)=99,"none in 12 mo",MIN(C175:N175))</f>
        <v>none in 12 mo</v>
      </c>
    </row>
    <row r="191" customFormat="false" ht="15" hidden="false" customHeight="false" outlineLevel="0" collapsed="false">
      <c r="A191" s="5" t="s">
        <v>252</v>
      </c>
      <c r="P191" s="3" t="s">
        <v>214</v>
      </c>
      <c r="Q191" s="3" t="n">
        <f aca="false">MAX(1,ROUNDUP((Assumptions!$B$10+Scenario_Inputs!$F$23)/30,0))</f>
        <v>1</v>
      </c>
    </row>
    <row r="192" customFormat="false" ht="15" hidden="false" customHeight="false" outlineLevel="0" collapsed="false">
      <c r="A192" s="0" t="s">
        <v>66</v>
      </c>
      <c r="C192" s="0" t="n">
        <v>1</v>
      </c>
      <c r="D192" s="0" t="n">
        <v>2</v>
      </c>
      <c r="E192" s="0" t="n">
        <v>3</v>
      </c>
      <c r="F192" s="0" t="n">
        <v>4</v>
      </c>
      <c r="G192" s="0" t="n">
        <v>5</v>
      </c>
      <c r="H192" s="0" t="n">
        <v>6</v>
      </c>
      <c r="I192" s="0" t="n">
        <v>7</v>
      </c>
      <c r="J192" s="0" t="n">
        <v>8</v>
      </c>
      <c r="K192" s="0" t="n">
        <v>9</v>
      </c>
      <c r="L192" s="0" t="n">
        <v>10</v>
      </c>
      <c r="M192" s="0" t="n">
        <v>11</v>
      </c>
      <c r="N192" s="0" t="n">
        <v>12</v>
      </c>
      <c r="O192" s="5" t="s">
        <v>215</v>
      </c>
    </row>
    <row r="193" customFormat="false" ht="15" hidden="false" customHeight="false" outlineLevel="0" collapsed="false">
      <c r="A193" s="0" t="s">
        <v>216</v>
      </c>
      <c r="C193" s="0" t="n">
        <f aca="false">Assumptions!B$33*Scenario_Inputs!$D$23</f>
        <v>0</v>
      </c>
      <c r="D193" s="0" t="n">
        <f aca="false">Assumptions!C$33*Scenario_Inputs!$D$23</f>
        <v>0.5</v>
      </c>
      <c r="E193" s="0" t="n">
        <f aca="false">Assumptions!D$33*Scenario_Inputs!$D$23</f>
        <v>1</v>
      </c>
      <c r="F193" s="0" t="n">
        <f aca="false">Assumptions!E$33*Scenario_Inputs!$D$23</f>
        <v>1.5</v>
      </c>
      <c r="G193" s="0" t="n">
        <f aca="false">Assumptions!F$33*Scenario_Inputs!$D$23</f>
        <v>1.5</v>
      </c>
      <c r="H193" s="0" t="n">
        <f aca="false">Assumptions!G$33*Scenario_Inputs!$D$23</f>
        <v>2</v>
      </c>
      <c r="I193" s="0" t="n">
        <f aca="false">Assumptions!H$33*Scenario_Inputs!$D$23</f>
        <v>2</v>
      </c>
      <c r="J193" s="0" t="n">
        <f aca="false">Assumptions!I$33*Scenario_Inputs!$D$23</f>
        <v>2.5</v>
      </c>
      <c r="K193" s="0" t="n">
        <f aca="false">Assumptions!J$33*Scenario_Inputs!$D$23</f>
        <v>2.5</v>
      </c>
      <c r="L193" s="0" t="n">
        <f aca="false">Assumptions!K$33*Scenario_Inputs!$D$23</f>
        <v>2.5</v>
      </c>
      <c r="M193" s="0" t="n">
        <f aca="false">Assumptions!L$33*Scenario_Inputs!$D$23</f>
        <v>3</v>
      </c>
      <c r="N193" s="0" t="n">
        <f aca="false">Assumptions!M$33*Scenario_Inputs!$D$23</f>
        <v>3</v>
      </c>
      <c r="O193" s="0" t="n">
        <f aca="false">SUM(C193:N193)</f>
        <v>22</v>
      </c>
    </row>
    <row r="194" customFormat="false" ht="15" hidden="false" customHeight="false" outlineLevel="0" collapsed="false">
      <c r="A194" s="0" t="s">
        <v>217</v>
      </c>
      <c r="C194" s="0" t="n">
        <v>0</v>
      </c>
      <c r="D194" s="0" t="n">
        <f aca="false">SUM($C193:C193)</f>
        <v>0</v>
      </c>
      <c r="E194" s="0" t="n">
        <f aca="false">SUM($C193:D193)</f>
        <v>0.5</v>
      </c>
      <c r="F194" s="0" t="n">
        <f aca="false">SUM($C193:E193)</f>
        <v>1.5</v>
      </c>
      <c r="G194" s="0" t="n">
        <f aca="false">SUM($C193:F193)</f>
        <v>3</v>
      </c>
      <c r="H194" s="0" t="n">
        <f aca="false">SUM($C193:G193)</f>
        <v>4.5</v>
      </c>
      <c r="I194" s="0" t="n">
        <f aca="false">SUM($C193:H193)</f>
        <v>6.5</v>
      </c>
      <c r="J194" s="0" t="n">
        <f aca="false">SUM($C193:I193)</f>
        <v>8.5</v>
      </c>
      <c r="K194" s="0" t="n">
        <f aca="false">SUM($C193:J193)</f>
        <v>11</v>
      </c>
      <c r="L194" s="0" t="n">
        <f aca="false">SUM($C193:K193)</f>
        <v>13.5</v>
      </c>
      <c r="M194" s="0" t="n">
        <f aca="false">SUM($C193:L193)</f>
        <v>16</v>
      </c>
      <c r="N194" s="0" t="n">
        <f aca="false">SUM($C193:M193)</f>
        <v>19</v>
      </c>
    </row>
    <row r="195" customFormat="false" ht="15" hidden="false" customHeight="false" outlineLevel="0" collapsed="false">
      <c r="A195" s="0" t="s">
        <v>218</v>
      </c>
      <c r="C195" s="0" t="n">
        <f aca="false">C194*Assumptions!$B$11*Scenario_Inputs!$E$23</f>
        <v>0</v>
      </c>
      <c r="D195" s="0" t="n">
        <f aca="false">D194*Assumptions!$B$11*Scenario_Inputs!$E$23</f>
        <v>0</v>
      </c>
      <c r="E195" s="0" t="n">
        <f aca="false">E194*Assumptions!$B$11*Scenario_Inputs!$E$23</f>
        <v>0.09</v>
      </c>
      <c r="F195" s="0" t="n">
        <f aca="false">F194*Assumptions!$B$11*Scenario_Inputs!$E$23</f>
        <v>0.27</v>
      </c>
      <c r="G195" s="0" t="n">
        <f aca="false">G194*Assumptions!$B$11*Scenario_Inputs!$E$23</f>
        <v>0.54</v>
      </c>
      <c r="H195" s="0" t="n">
        <f aca="false">H194*Assumptions!$B$11*Scenario_Inputs!$E$23</f>
        <v>0.81</v>
      </c>
      <c r="I195" s="0" t="n">
        <f aca="false">I194*Assumptions!$B$11*Scenario_Inputs!$E$23</f>
        <v>1.17</v>
      </c>
      <c r="J195" s="0" t="n">
        <f aca="false">J194*Assumptions!$B$11*Scenario_Inputs!$E$23</f>
        <v>1.53</v>
      </c>
      <c r="K195" s="0" t="n">
        <f aca="false">K194*Assumptions!$B$11*Scenario_Inputs!$E$23</f>
        <v>1.98</v>
      </c>
      <c r="L195" s="0" t="n">
        <f aca="false">L194*Assumptions!$B$11*Scenario_Inputs!$E$23</f>
        <v>2.43</v>
      </c>
      <c r="M195" s="0" t="n">
        <f aca="false">M194*Assumptions!$B$11*Scenario_Inputs!$E$23</f>
        <v>2.88</v>
      </c>
      <c r="N195" s="0" t="n">
        <f aca="false">N194*Assumptions!$B$11*Scenario_Inputs!$E$23</f>
        <v>3.42</v>
      </c>
      <c r="O195" s="0" t="n">
        <f aca="false">SUM(C195:N195)</f>
        <v>15.12</v>
      </c>
    </row>
    <row r="196" customFormat="false" ht="15" hidden="false" customHeight="false" outlineLevel="0" collapsed="false">
      <c r="A196" s="0" t="s">
        <v>219</v>
      </c>
      <c r="C196" s="0" t="n">
        <f aca="false">C193+C195</f>
        <v>0</v>
      </c>
      <c r="D196" s="0" t="n">
        <f aca="false">D193+D195</f>
        <v>0.5</v>
      </c>
      <c r="E196" s="0" t="n">
        <f aca="false">E193+E195</f>
        <v>1.09</v>
      </c>
      <c r="F196" s="0" t="n">
        <f aca="false">F193+F195</f>
        <v>1.77</v>
      </c>
      <c r="G196" s="0" t="n">
        <f aca="false">G193+G195</f>
        <v>2.04</v>
      </c>
      <c r="H196" s="0" t="n">
        <f aca="false">H193+H195</f>
        <v>2.81</v>
      </c>
      <c r="I196" s="0" t="n">
        <f aca="false">I193+I195</f>
        <v>3.17</v>
      </c>
      <c r="J196" s="0" t="n">
        <f aca="false">J193+J195</f>
        <v>4.03</v>
      </c>
      <c r="K196" s="0" t="n">
        <f aca="false">K193+K195</f>
        <v>4.48</v>
      </c>
      <c r="L196" s="0" t="n">
        <f aca="false">L193+L195</f>
        <v>4.93</v>
      </c>
      <c r="M196" s="0" t="n">
        <f aca="false">M193+M195</f>
        <v>5.88</v>
      </c>
      <c r="N196" s="0" t="n">
        <f aca="false">N193+N195</f>
        <v>6.42</v>
      </c>
      <c r="O196" s="0" t="n">
        <f aca="false">SUM(C196:N196)</f>
        <v>37.12</v>
      </c>
    </row>
    <row r="197" customFormat="false" ht="15" hidden="false" customHeight="false" outlineLevel="0" collapsed="false">
      <c r="A197" s="0" t="s">
        <v>220</v>
      </c>
      <c r="C197" s="0" t="n">
        <f aca="false">C196*Assumptions!$B$5*Scenario_Inputs!G$24</f>
        <v>0</v>
      </c>
      <c r="D197" s="0" t="n">
        <f aca="false">D196*Assumptions!$B$5*Scenario_Inputs!H$24</f>
        <v>13359.375</v>
      </c>
      <c r="E197" s="0" t="n">
        <f aca="false">E196*Assumptions!$B$5*Scenario_Inputs!I$24</f>
        <v>29123.4375</v>
      </c>
      <c r="F197" s="0" t="n">
        <f aca="false">F196*Assumptions!$B$5*Scenario_Inputs!J$24</f>
        <v>47292.1875</v>
      </c>
      <c r="G197" s="0" t="n">
        <f aca="false">G196*Assumptions!$B$5*Scenario_Inputs!K$24</f>
        <v>54506.25</v>
      </c>
      <c r="H197" s="0" t="n">
        <f aca="false">H196*Assumptions!$B$5*Scenario_Inputs!L$24</f>
        <v>75079.6875</v>
      </c>
      <c r="I197" s="0" t="n">
        <f aca="false">I196*Assumptions!$B$5*Scenario_Inputs!M$24</f>
        <v>84698.4375</v>
      </c>
      <c r="J197" s="0" t="n">
        <f aca="false">J196*Assumptions!$B$5*Scenario_Inputs!N$24</f>
        <v>107676.5625</v>
      </c>
      <c r="K197" s="0" t="n">
        <f aca="false">K196*Assumptions!$B$5*Scenario_Inputs!O$24</f>
        <v>119700</v>
      </c>
      <c r="L197" s="0" t="n">
        <f aca="false">L196*Assumptions!$B$5*Scenario_Inputs!P$24</f>
        <v>131723.4375</v>
      </c>
      <c r="M197" s="0" t="n">
        <f aca="false">M196*Assumptions!$B$5*Scenario_Inputs!Q$24</f>
        <v>157106.25</v>
      </c>
      <c r="N197" s="0" t="n">
        <f aca="false">N196*Assumptions!$B$5*Scenario_Inputs!R$24</f>
        <v>171534.375</v>
      </c>
      <c r="O197" s="0" t="n">
        <f aca="false">SUM(C197:N197)</f>
        <v>991800</v>
      </c>
    </row>
    <row r="198" customFormat="false" ht="15" hidden="false" customHeight="false" outlineLevel="0" collapsed="false">
      <c r="A198" s="0" t="s">
        <v>221</v>
      </c>
      <c r="C198" s="0" t="n">
        <f aca="false">C197*Scenario_Inputs!$B$23</f>
        <v>0</v>
      </c>
      <c r="D198" s="0" t="n">
        <f aca="false">D197*Scenario_Inputs!$B$23</f>
        <v>13359.375</v>
      </c>
      <c r="E198" s="0" t="n">
        <f aca="false">E197*Scenario_Inputs!$B$23</f>
        <v>29123.4375</v>
      </c>
      <c r="F198" s="0" t="n">
        <f aca="false">F197*Scenario_Inputs!$B$23</f>
        <v>47292.1875</v>
      </c>
      <c r="G198" s="0" t="n">
        <f aca="false">G197*Scenario_Inputs!$B$23</f>
        <v>54506.25</v>
      </c>
      <c r="H198" s="0" t="n">
        <f aca="false">H197*Scenario_Inputs!$B$23</f>
        <v>75079.6875</v>
      </c>
      <c r="I198" s="0" t="n">
        <f aca="false">I197*Scenario_Inputs!$B$23</f>
        <v>84698.4375</v>
      </c>
      <c r="J198" s="0" t="n">
        <f aca="false">J197*Scenario_Inputs!$B$23</f>
        <v>107676.5625</v>
      </c>
      <c r="K198" s="0" t="n">
        <f aca="false">K197*Scenario_Inputs!$B$23</f>
        <v>119700</v>
      </c>
      <c r="L198" s="0" t="n">
        <f aca="false">L197*Scenario_Inputs!$B$23</f>
        <v>131723.4375</v>
      </c>
      <c r="M198" s="0" t="n">
        <f aca="false">M197*Scenario_Inputs!$B$23</f>
        <v>157106.25</v>
      </c>
      <c r="N198" s="0" t="n">
        <f aca="false">N197*Scenario_Inputs!$B$23</f>
        <v>171534.375</v>
      </c>
      <c r="O198" s="0" t="n">
        <f aca="false">SUM(C198:N198)</f>
        <v>991800</v>
      </c>
    </row>
    <row r="199" customFormat="false" ht="15" hidden="false" customHeight="false" outlineLevel="0" collapsed="false">
      <c r="A199" s="0" t="s">
        <v>222</v>
      </c>
      <c r="C199" s="0" t="n">
        <f aca="false">C197*(1-Assumptions!$B$6)*Scenario_Inputs!$C$23*(1+(1-Assumptions!$B$26)*Assumptions!$B$21*Assumptions!$B$27)</f>
        <v>0</v>
      </c>
      <c r="D199" s="0" t="n">
        <f aca="false">D197*(1-Assumptions!$B$6)*Scenario_Inputs!$C$23*(1+(1-Assumptions!$B$26)*Assumptions!$B$21*Assumptions!$B$27)</f>
        <v>9848.8775</v>
      </c>
      <c r="E199" s="0" t="n">
        <f aca="false">E197*(1-Assumptions!$B$6)*Scenario_Inputs!$C$23*(1+(1-Assumptions!$B$26)*Assumptions!$B$21*Assumptions!$B$27)</f>
        <v>21470.55295</v>
      </c>
      <c r="F199" s="0" t="n">
        <f aca="false">F197*(1-Assumptions!$B$6)*Scenario_Inputs!$C$23*(1+(1-Assumptions!$B$26)*Assumptions!$B$21*Assumptions!$B$27)</f>
        <v>34865.02635</v>
      </c>
      <c r="G199" s="0" t="n">
        <f aca="false">G197*(1-Assumptions!$B$6)*Scenario_Inputs!$C$23*(1+(1-Assumptions!$B$26)*Assumptions!$B$21*Assumptions!$B$27)</f>
        <v>40183.4202</v>
      </c>
      <c r="H199" s="0" t="n">
        <f aca="false">H197*(1-Assumptions!$B$6)*Scenario_Inputs!$C$23*(1+(1-Assumptions!$B$26)*Assumptions!$B$21*Assumptions!$B$27)</f>
        <v>55350.69155</v>
      </c>
      <c r="I199" s="0" t="n">
        <f aca="false">I197*(1-Assumptions!$B$6)*Scenario_Inputs!$C$23*(1+(1-Assumptions!$B$26)*Assumptions!$B$21*Assumptions!$B$27)</f>
        <v>62441.88335</v>
      </c>
      <c r="J199" s="0" t="n">
        <f aca="false">J197*(1-Assumptions!$B$6)*Scenario_Inputs!$C$23*(1+(1-Assumptions!$B$26)*Assumptions!$B$21*Assumptions!$B$27)</f>
        <v>79381.95265</v>
      </c>
      <c r="K199" s="0" t="n">
        <f aca="false">K197*(1-Assumptions!$B$6)*Scenario_Inputs!$C$23*(1+(1-Assumptions!$B$26)*Assumptions!$B$21*Assumptions!$B$27)</f>
        <v>88245.9424</v>
      </c>
      <c r="L199" s="0" t="n">
        <f aca="false">L197*(1-Assumptions!$B$6)*Scenario_Inputs!$C$23*(1+(1-Assumptions!$B$26)*Assumptions!$B$21*Assumptions!$B$27)</f>
        <v>97109.93215</v>
      </c>
      <c r="M199" s="0" t="n">
        <f aca="false">M197*(1-Assumptions!$B$6)*Scenario_Inputs!$C$23*(1+(1-Assumptions!$B$26)*Assumptions!$B$21*Assumptions!$B$27)</f>
        <v>115822.7994</v>
      </c>
      <c r="N199" s="0" t="n">
        <f aca="false">N197*(1-Assumptions!$B$6)*Scenario_Inputs!$C$23*(1+(1-Assumptions!$B$26)*Assumptions!$B$21*Assumptions!$B$27)</f>
        <v>126459.5871</v>
      </c>
      <c r="O199" s="0" t="n">
        <f aca="false">SUM(C199:N199)</f>
        <v>731180.6656</v>
      </c>
    </row>
    <row r="200" customFormat="false" ht="15" hidden="false" customHeight="false" outlineLevel="0" collapsed="false">
      <c r="A200" s="0" t="s">
        <v>223</v>
      </c>
      <c r="C200" s="0" t="n">
        <f aca="false">C198*(Assumptions!$B$7+Assumptions!$B$8)</f>
        <v>0</v>
      </c>
      <c r="D200" s="0" t="n">
        <f aca="false">D198*(Assumptions!$B$7+Assumptions!$B$8)</f>
        <v>801.5625</v>
      </c>
      <c r="E200" s="0" t="n">
        <f aca="false">E198*(Assumptions!$B$7+Assumptions!$B$8)</f>
        <v>1747.40625</v>
      </c>
      <c r="F200" s="0" t="n">
        <f aca="false">F198*(Assumptions!$B$7+Assumptions!$B$8)</f>
        <v>2837.53125</v>
      </c>
      <c r="G200" s="0" t="n">
        <f aca="false">G198*(Assumptions!$B$7+Assumptions!$B$8)</f>
        <v>3270.375</v>
      </c>
      <c r="H200" s="0" t="n">
        <f aca="false">H198*(Assumptions!$B$7+Assumptions!$B$8)</f>
        <v>4504.78125</v>
      </c>
      <c r="I200" s="0" t="n">
        <f aca="false">I198*(Assumptions!$B$7+Assumptions!$B$8)</f>
        <v>5081.90625</v>
      </c>
      <c r="J200" s="0" t="n">
        <f aca="false">J198*(Assumptions!$B$7+Assumptions!$B$8)</f>
        <v>6460.59375</v>
      </c>
      <c r="K200" s="0" t="n">
        <f aca="false">K198*(Assumptions!$B$7+Assumptions!$B$8)</f>
        <v>7182</v>
      </c>
      <c r="L200" s="0" t="n">
        <f aca="false">L198*(Assumptions!$B$7+Assumptions!$B$8)</f>
        <v>7903.40625</v>
      </c>
      <c r="M200" s="0" t="n">
        <f aca="false">M198*(Assumptions!$B$7+Assumptions!$B$8)</f>
        <v>9426.375</v>
      </c>
      <c r="N200" s="0" t="n">
        <f aca="false">N198*(Assumptions!$B$7+Assumptions!$B$8)</f>
        <v>10292.0625</v>
      </c>
      <c r="O200" s="0" t="n">
        <f aca="false">SUM(C200:N200)</f>
        <v>59508</v>
      </c>
    </row>
    <row r="201" customFormat="false" ht="15" hidden="false" customHeight="false" outlineLevel="0" collapsed="false">
      <c r="A201" s="0" t="s">
        <v>198</v>
      </c>
      <c r="C201" s="0" t="n">
        <f aca="false">C198-C199-C200</f>
        <v>0</v>
      </c>
      <c r="D201" s="0" t="n">
        <f aca="false">D198-D199-D200</f>
        <v>2708.935</v>
      </c>
      <c r="E201" s="0" t="n">
        <f aca="false">E198-E199-E200</f>
        <v>5905.4783</v>
      </c>
      <c r="F201" s="0" t="n">
        <f aca="false">F198-F199-F200</f>
        <v>9589.6299</v>
      </c>
      <c r="G201" s="0" t="n">
        <f aca="false">G198-G199-G200</f>
        <v>11052.4548</v>
      </c>
      <c r="H201" s="0" t="n">
        <f aca="false">H198-H199-H200</f>
        <v>15224.2147</v>
      </c>
      <c r="I201" s="0" t="n">
        <f aca="false">I198-I199-I200</f>
        <v>17174.6479</v>
      </c>
      <c r="J201" s="0" t="n">
        <f aca="false">J198-J199-J200</f>
        <v>21834.0161</v>
      </c>
      <c r="K201" s="0" t="n">
        <f aca="false">K198-K199-K200</f>
        <v>24272.0576</v>
      </c>
      <c r="L201" s="0" t="n">
        <f aca="false">L198-L199-L200</f>
        <v>26710.0991</v>
      </c>
      <c r="M201" s="0" t="n">
        <f aca="false">M198-M199-M200</f>
        <v>31857.0756</v>
      </c>
      <c r="N201" s="0" t="n">
        <f aca="false">N198-N199-N200</f>
        <v>34782.7254</v>
      </c>
      <c r="O201" s="0" t="n">
        <f aca="false">SUM(C201:N201)</f>
        <v>201111.3344</v>
      </c>
    </row>
    <row r="202" customFormat="false" ht="15" hidden="false" customHeight="false" outlineLevel="0" collapsed="false">
      <c r="A202" s="0" t="s">
        <v>224</v>
      </c>
      <c r="C202" s="0" t="n">
        <f aca="false">Assumptions!$B$29</f>
        <v>32500</v>
      </c>
      <c r="D202" s="0" t="n">
        <f aca="false">Assumptions!$B$29</f>
        <v>32500</v>
      </c>
      <c r="E202" s="0" t="n">
        <f aca="false">Assumptions!$B$29</f>
        <v>32500</v>
      </c>
      <c r="F202" s="0" t="n">
        <f aca="false">Assumptions!$B$29</f>
        <v>32500</v>
      </c>
      <c r="G202" s="0" t="n">
        <f aca="false">Assumptions!$B$29</f>
        <v>32500</v>
      </c>
      <c r="H202" s="0" t="n">
        <f aca="false">Assumptions!$B$29</f>
        <v>32500</v>
      </c>
      <c r="I202" s="0" t="n">
        <f aca="false">Assumptions!$B$29</f>
        <v>32500</v>
      </c>
      <c r="J202" s="0" t="n">
        <f aca="false">Assumptions!$B$29</f>
        <v>32500</v>
      </c>
      <c r="K202" s="0" t="n">
        <f aca="false">Assumptions!$B$29</f>
        <v>32500</v>
      </c>
      <c r="L202" s="0" t="n">
        <f aca="false">Assumptions!$B$29</f>
        <v>32500</v>
      </c>
      <c r="M202" s="0" t="n">
        <f aca="false">Assumptions!$B$29</f>
        <v>32500</v>
      </c>
      <c r="N202" s="0" t="n">
        <f aca="false">Assumptions!$B$29</f>
        <v>32500</v>
      </c>
      <c r="O202" s="0" t="n">
        <f aca="false">SUM(C202:N202)</f>
        <v>390000</v>
      </c>
    </row>
    <row r="203" customFormat="false" ht="15" hidden="false" customHeight="false" outlineLevel="0" collapsed="false">
      <c r="A203" s="0" t="s">
        <v>225</v>
      </c>
      <c r="C203" s="0" t="n">
        <f aca="false">Scenario_Inputs!G$25</f>
        <v>0</v>
      </c>
      <c r="D203" s="0" t="n">
        <f aca="false">Scenario_Inputs!H$25</f>
        <v>0</v>
      </c>
      <c r="E203" s="0" t="n">
        <f aca="false">Scenario_Inputs!I$25</f>
        <v>0</v>
      </c>
      <c r="F203" s="0" t="n">
        <f aca="false">Scenario_Inputs!J$25</f>
        <v>0</v>
      </c>
      <c r="G203" s="0" t="n">
        <f aca="false">Scenario_Inputs!K$25</f>
        <v>0</v>
      </c>
      <c r="H203" s="0" t="n">
        <f aca="false">Scenario_Inputs!L$25</f>
        <v>0</v>
      </c>
      <c r="I203" s="0" t="n">
        <f aca="false">Scenario_Inputs!M$25</f>
        <v>0</v>
      </c>
      <c r="J203" s="0" t="n">
        <f aca="false">Scenario_Inputs!N$25</f>
        <v>0</v>
      </c>
      <c r="K203" s="0" t="n">
        <f aca="false">Scenario_Inputs!O$25</f>
        <v>0</v>
      </c>
      <c r="L203" s="0" t="n">
        <f aca="false">Scenario_Inputs!P$25</f>
        <v>0</v>
      </c>
      <c r="M203" s="0" t="n">
        <f aca="false">Scenario_Inputs!Q$25</f>
        <v>0</v>
      </c>
      <c r="N203" s="0" t="n">
        <f aca="false">Scenario_Inputs!R$25</f>
        <v>0</v>
      </c>
      <c r="O203" s="0" t="n">
        <f aca="false">SUM(C203:N203)</f>
        <v>0</v>
      </c>
    </row>
    <row r="204" customFormat="false" ht="15" hidden="false" customHeight="false" outlineLevel="0" collapsed="false">
      <c r="A204" s="0" t="s">
        <v>226</v>
      </c>
      <c r="C204" s="0" t="n">
        <f aca="false">C201-C202-C203</f>
        <v>-32500</v>
      </c>
      <c r="D204" s="0" t="n">
        <f aca="false">D201-D202-D203</f>
        <v>-29791.065</v>
      </c>
      <c r="E204" s="0" t="n">
        <f aca="false">E201-E202-E203</f>
        <v>-26594.5217</v>
      </c>
      <c r="F204" s="0" t="n">
        <f aca="false">F201-F202-F203</f>
        <v>-22910.3701</v>
      </c>
      <c r="G204" s="0" t="n">
        <f aca="false">G201-G202-G203</f>
        <v>-21447.5452</v>
      </c>
      <c r="H204" s="0" t="n">
        <f aca="false">H201-H202-H203</f>
        <v>-17275.7853</v>
      </c>
      <c r="I204" s="0" t="n">
        <f aca="false">I201-I202-I203</f>
        <v>-15325.3521</v>
      </c>
      <c r="J204" s="0" t="n">
        <f aca="false">J201-J202-J203</f>
        <v>-10665.9839</v>
      </c>
      <c r="K204" s="0" t="n">
        <f aca="false">K201-K202-K203</f>
        <v>-8227.94240000001</v>
      </c>
      <c r="L204" s="0" t="n">
        <f aca="false">L201-L202-L203</f>
        <v>-5789.90090000001</v>
      </c>
      <c r="M204" s="0" t="n">
        <f aca="false">M201-M202-M203</f>
        <v>-642.924400000004</v>
      </c>
      <c r="N204" s="0" t="n">
        <f aca="false">N201-N202-N203</f>
        <v>2282.7254</v>
      </c>
      <c r="O204" s="0" t="n">
        <f aca="false">SUM(C204:N204)</f>
        <v>-188888.6656</v>
      </c>
    </row>
    <row r="205" customFormat="false" ht="15" hidden="false" customHeight="false" outlineLevel="0" collapsed="false">
      <c r="A205" s="0" t="s">
        <v>227</v>
      </c>
      <c r="C205" s="0" t="n">
        <f aca="false">IF(C192&gt;=Assumptions!$B$13,Assumptions!$B$12,0)</f>
        <v>0</v>
      </c>
      <c r="D205" s="0" t="n">
        <f aca="false">IF(D192&gt;=Assumptions!$B$13,Assumptions!$B$12,0)</f>
        <v>0</v>
      </c>
      <c r="E205" s="0" t="n">
        <f aca="false">IF(E192&gt;=Assumptions!$B$13,Assumptions!$B$12,0)</f>
        <v>0</v>
      </c>
      <c r="F205" s="0" t="n">
        <f aca="false">IF(F192&gt;=Assumptions!$B$13,Assumptions!$B$12,0)</f>
        <v>0</v>
      </c>
      <c r="G205" s="0" t="n">
        <f aca="false">IF(G192&gt;=Assumptions!$B$13,Assumptions!$B$12,0)</f>
        <v>0</v>
      </c>
      <c r="H205" s="0" t="n">
        <f aca="false">IF(H192&gt;=Assumptions!$B$13,Assumptions!$B$12,0)</f>
        <v>0</v>
      </c>
      <c r="I205" s="0" t="n">
        <f aca="false">IF(I192&gt;=Assumptions!$B$13,Assumptions!$B$12,0)</f>
        <v>15000</v>
      </c>
      <c r="J205" s="0" t="n">
        <f aca="false">IF(J192&gt;=Assumptions!$B$13,Assumptions!$B$12,0)</f>
        <v>15000</v>
      </c>
      <c r="K205" s="0" t="n">
        <f aca="false">IF(K192&gt;=Assumptions!$B$13,Assumptions!$B$12,0)</f>
        <v>15000</v>
      </c>
      <c r="L205" s="0" t="n">
        <f aca="false">IF(L192&gt;=Assumptions!$B$13,Assumptions!$B$12,0)</f>
        <v>15000</v>
      </c>
      <c r="M205" s="0" t="n">
        <f aca="false">IF(M192&gt;=Assumptions!$B$13,Assumptions!$B$12,0)</f>
        <v>15000</v>
      </c>
      <c r="N205" s="0" t="n">
        <f aca="false">IF(N192&gt;=Assumptions!$B$13,Assumptions!$B$12,0)</f>
        <v>15000</v>
      </c>
      <c r="O205" s="0" t="n">
        <f aca="false">SUM(C205:N205)</f>
        <v>90000</v>
      </c>
    </row>
    <row r="206" customFormat="false" ht="15" hidden="false" customHeight="false" outlineLevel="0" collapsed="false">
      <c r="A206" s="0" t="s">
        <v>228</v>
      </c>
      <c r="C206" s="0" t="n">
        <f aca="false">C204-C205</f>
        <v>-32500</v>
      </c>
      <c r="D206" s="0" t="n">
        <f aca="false">D204-D205</f>
        <v>-29791.065</v>
      </c>
      <c r="E206" s="0" t="n">
        <f aca="false">E204-E205</f>
        <v>-26594.5217</v>
      </c>
      <c r="F206" s="0" t="n">
        <f aca="false">F204-F205</f>
        <v>-22910.3701</v>
      </c>
      <c r="G206" s="0" t="n">
        <f aca="false">G204-G205</f>
        <v>-21447.5452</v>
      </c>
      <c r="H206" s="0" t="n">
        <f aca="false">H204-H205</f>
        <v>-17275.7853</v>
      </c>
      <c r="I206" s="0" t="n">
        <f aca="false">I204-I205</f>
        <v>-30325.3521</v>
      </c>
      <c r="J206" s="0" t="n">
        <f aca="false">J204-J205</f>
        <v>-25665.9839</v>
      </c>
      <c r="K206" s="0" t="n">
        <f aca="false">K204-K205</f>
        <v>-23227.9424</v>
      </c>
      <c r="L206" s="0" t="n">
        <f aca="false">L204-L205</f>
        <v>-20789.9009</v>
      </c>
      <c r="M206" s="0" t="n">
        <f aca="false">M204-M205</f>
        <v>-15642.9244</v>
      </c>
      <c r="N206" s="0" t="n">
        <f aca="false">N204-N205</f>
        <v>-12717.2746</v>
      </c>
      <c r="O206" s="0" t="n">
        <f aca="false">SUM(C206:N206)</f>
        <v>-278888.6656</v>
      </c>
    </row>
    <row r="207" customFormat="false" ht="15" hidden="false" customHeight="false" outlineLevel="0" collapsed="false">
      <c r="A207" s="0" t="s">
        <v>229</v>
      </c>
      <c r="C207" s="0" t="n">
        <f aca="false">Assumptions!$B$9*C198+(1-Assumptions!$B$9)*IF(C192-$Q$191&gt;=1,INDEX($C198:$N198,C192-$Q$191),0)</f>
        <v>0</v>
      </c>
      <c r="D207" s="0" t="n">
        <f aca="false">Assumptions!$B$9*D198+(1-Assumptions!$B$9)*IF(D192-$Q$191&gt;=1,INDEX($C198:$N198,D192-$Q$191),0)</f>
        <v>6679.6875</v>
      </c>
      <c r="E207" s="0" t="n">
        <f aca="false">Assumptions!$B$9*E198+(1-Assumptions!$B$9)*IF(E192-$Q$191&gt;=1,INDEX($C198:$N198,E192-$Q$191),0)</f>
        <v>21241.40625</v>
      </c>
      <c r="F207" s="0" t="n">
        <f aca="false">Assumptions!$B$9*F198+(1-Assumptions!$B$9)*IF(F192-$Q$191&gt;=1,INDEX($C198:$N198,F192-$Q$191),0)</f>
        <v>38207.8125</v>
      </c>
      <c r="G207" s="0" t="n">
        <f aca="false">Assumptions!$B$9*G198+(1-Assumptions!$B$9)*IF(G192-$Q$191&gt;=1,INDEX($C198:$N198,G192-$Q$191),0)</f>
        <v>50899.21875</v>
      </c>
      <c r="H207" s="0" t="n">
        <f aca="false">Assumptions!$B$9*H198+(1-Assumptions!$B$9)*IF(H192-$Q$191&gt;=1,INDEX($C198:$N198,H192-$Q$191),0)</f>
        <v>64792.96875</v>
      </c>
      <c r="I207" s="0" t="n">
        <f aca="false">Assumptions!$B$9*I198+(1-Assumptions!$B$9)*IF(I192-$Q$191&gt;=1,INDEX($C198:$N198,I192-$Q$191),0)</f>
        <v>79889.0625</v>
      </c>
      <c r="J207" s="0" t="n">
        <f aca="false">Assumptions!$B$9*J198+(1-Assumptions!$B$9)*IF(J192-$Q$191&gt;=1,INDEX($C198:$N198,J192-$Q$191),0)</f>
        <v>96187.5</v>
      </c>
      <c r="K207" s="0" t="n">
        <f aca="false">Assumptions!$B$9*K198+(1-Assumptions!$B$9)*IF(K192-$Q$191&gt;=1,INDEX($C198:$N198,K192-$Q$191),0)</f>
        <v>113688.28125</v>
      </c>
      <c r="L207" s="0" t="n">
        <f aca="false">Assumptions!$B$9*L198+(1-Assumptions!$B$9)*IF(L192-$Q$191&gt;=1,INDEX($C198:$N198,L192-$Q$191),0)</f>
        <v>125711.71875</v>
      </c>
      <c r="M207" s="0" t="n">
        <f aca="false">Assumptions!$B$9*M198+(1-Assumptions!$B$9)*IF(M192-$Q$191&gt;=1,INDEX($C198:$N198,M192-$Q$191),0)</f>
        <v>144414.84375</v>
      </c>
      <c r="N207" s="0" t="n">
        <f aca="false">Assumptions!$B$9*N198+(1-Assumptions!$B$9)*IF(N192-$Q$191&gt;=1,INDEX($C198:$N198,N192-$Q$191),0)</f>
        <v>164320.3125</v>
      </c>
      <c r="O207" s="0" t="n">
        <f aca="false">SUM(C207:N207)</f>
        <v>906032.8125</v>
      </c>
    </row>
    <row r="208" customFormat="false" ht="15" hidden="false" customHeight="false" outlineLevel="0" collapsed="false">
      <c r="A208" s="0" t="s">
        <v>230</v>
      </c>
      <c r="C208" s="0" t="n">
        <f aca="false">C199+C200+C202+C203+C205</f>
        <v>32500</v>
      </c>
      <c r="D208" s="0" t="n">
        <f aca="false">D199+D200+D202+D203+D205</f>
        <v>43150.44</v>
      </c>
      <c r="E208" s="0" t="n">
        <f aca="false">E199+E200+E202+E203+E205</f>
        <v>55717.9592</v>
      </c>
      <c r="F208" s="0" t="n">
        <f aca="false">F199+F200+F202+F203+F205</f>
        <v>70202.5576</v>
      </c>
      <c r="G208" s="0" t="n">
        <f aca="false">G199+G200+G202+G203+G205</f>
        <v>75953.7952</v>
      </c>
      <c r="H208" s="0" t="n">
        <f aca="false">H199+H200+H202+H203+H205</f>
        <v>92355.4728</v>
      </c>
      <c r="I208" s="0" t="n">
        <f aca="false">I199+I200+I202+I203+I205</f>
        <v>115023.7896</v>
      </c>
      <c r="J208" s="0" t="n">
        <f aca="false">J199+J200+J202+J203+J205</f>
        <v>133342.5464</v>
      </c>
      <c r="K208" s="0" t="n">
        <f aca="false">K199+K200+K202+K203+K205</f>
        <v>142927.9424</v>
      </c>
      <c r="L208" s="0" t="n">
        <f aca="false">L199+L200+L202+L203+L205</f>
        <v>152513.3384</v>
      </c>
      <c r="M208" s="0" t="n">
        <f aca="false">M199+M200+M202+M203+M205</f>
        <v>172749.1744</v>
      </c>
      <c r="N208" s="0" t="n">
        <f aca="false">N199+N200+N202+N203+N205</f>
        <v>184251.6496</v>
      </c>
      <c r="O208" s="0" t="n">
        <f aca="false">SUM(C208:N208)</f>
        <v>1270688.6656</v>
      </c>
    </row>
    <row r="209" customFormat="false" ht="15" hidden="false" customHeight="false" outlineLevel="0" collapsed="false">
      <c r="A209" s="0" t="s">
        <v>231</v>
      </c>
      <c r="C209" s="0" t="n">
        <f aca="false">C207-C208</f>
        <v>-32500</v>
      </c>
      <c r="D209" s="0" t="n">
        <f aca="false">D207-D208</f>
        <v>-36470.7525</v>
      </c>
      <c r="E209" s="0" t="n">
        <f aca="false">E207-E208</f>
        <v>-34476.55295</v>
      </c>
      <c r="F209" s="0" t="n">
        <f aca="false">F207-F208</f>
        <v>-31994.7451</v>
      </c>
      <c r="G209" s="0" t="n">
        <f aca="false">G207-G208</f>
        <v>-25054.57645</v>
      </c>
      <c r="H209" s="0" t="n">
        <f aca="false">H207-H208</f>
        <v>-27562.50405</v>
      </c>
      <c r="I209" s="0" t="n">
        <f aca="false">I207-I208</f>
        <v>-35134.7271</v>
      </c>
      <c r="J209" s="0" t="n">
        <f aca="false">J207-J208</f>
        <v>-37155.0464</v>
      </c>
      <c r="K209" s="0" t="n">
        <f aca="false">K207-K208</f>
        <v>-29239.66115</v>
      </c>
      <c r="L209" s="0" t="n">
        <f aca="false">L207-L208</f>
        <v>-26801.61965</v>
      </c>
      <c r="M209" s="0" t="n">
        <f aca="false">M207-M208</f>
        <v>-28334.33065</v>
      </c>
      <c r="N209" s="0" t="n">
        <f aca="false">N207-N208</f>
        <v>-19931.3371</v>
      </c>
      <c r="O209" s="0" t="n">
        <f aca="false">SUM(C209:N209)</f>
        <v>-364655.8531</v>
      </c>
    </row>
    <row r="210" customFormat="false" ht="15" hidden="false" customHeight="false" outlineLevel="0" collapsed="false">
      <c r="A210" s="0" t="s">
        <v>232</v>
      </c>
      <c r="C210" s="0" t="n">
        <f aca="false">Capital_Allocation!$C$20+C209</f>
        <v>202500</v>
      </c>
      <c r="D210" s="0" t="n">
        <f aca="false">C210+D209</f>
        <v>166029.2475</v>
      </c>
      <c r="E210" s="0" t="n">
        <f aca="false">D210+E209</f>
        <v>131552.69455</v>
      </c>
      <c r="F210" s="0" t="n">
        <f aca="false">E210+F209</f>
        <v>99557.94945</v>
      </c>
      <c r="G210" s="0" t="n">
        <f aca="false">F210+G209</f>
        <v>74503.373</v>
      </c>
      <c r="H210" s="0" t="n">
        <f aca="false">G210+H209</f>
        <v>46940.86895</v>
      </c>
      <c r="I210" s="0" t="n">
        <f aca="false">H210+I209</f>
        <v>11806.14185</v>
      </c>
      <c r="J210" s="0" t="n">
        <f aca="false">I210+J209</f>
        <v>-25348.90455</v>
      </c>
      <c r="K210" s="0" t="n">
        <f aca="false">J210+K209</f>
        <v>-54588.5657</v>
      </c>
      <c r="L210" s="0" t="n">
        <f aca="false">K210+L209</f>
        <v>-81390.18535</v>
      </c>
      <c r="M210" s="0" t="n">
        <f aca="false">L210+M209</f>
        <v>-109724.516</v>
      </c>
      <c r="N210" s="0" t="n">
        <f aca="false">M210+N209</f>
        <v>-129655.8531</v>
      </c>
    </row>
    <row r="211" customFormat="false" ht="15" hidden="false" customHeight="false" outlineLevel="0" collapsed="false">
      <c r="A211" s="0" t="s">
        <v>233</v>
      </c>
      <c r="C211" s="0" t="n">
        <f aca="false">SUM($C198:C198)-SUM($C207:C207)</f>
        <v>0</v>
      </c>
      <c r="D211" s="0" t="n">
        <f aca="false">SUM($C198:D198)-SUM($C207:D207)</f>
        <v>6679.6875</v>
      </c>
      <c r="E211" s="0" t="n">
        <f aca="false">SUM($C198:E198)-SUM($C207:E207)</f>
        <v>14561.71875</v>
      </c>
      <c r="F211" s="0" t="n">
        <f aca="false">SUM($C198:F198)-SUM($C207:F207)</f>
        <v>23646.09375</v>
      </c>
      <c r="G211" s="0" t="n">
        <f aca="false">SUM($C198:G198)-SUM($C207:G207)</f>
        <v>27253.125</v>
      </c>
      <c r="H211" s="0" t="n">
        <f aca="false">SUM($C198:H198)-SUM($C207:H207)</f>
        <v>37539.84375</v>
      </c>
      <c r="I211" s="0" t="n">
        <f aca="false">SUM($C198:I198)-SUM($C207:I207)</f>
        <v>42349.21875</v>
      </c>
      <c r="J211" s="0" t="n">
        <f aca="false">SUM($C198:J198)-SUM($C207:J207)</f>
        <v>53838.28125</v>
      </c>
      <c r="K211" s="0" t="n">
        <f aca="false">SUM($C198:K198)-SUM($C207:K207)</f>
        <v>59850</v>
      </c>
      <c r="L211" s="0" t="n">
        <f aca="false">SUM($C198:L198)-SUM($C207:L207)</f>
        <v>65861.71875</v>
      </c>
      <c r="M211" s="0" t="n">
        <f aca="false">SUM($C198:M198)-SUM($C207:M207)</f>
        <v>78553.125</v>
      </c>
      <c r="N211" s="0" t="n">
        <f aca="false">SUM($C198:N198)-SUM($C207:N207)</f>
        <v>85767.1875</v>
      </c>
    </row>
    <row r="212" customFormat="false" ht="15" hidden="false" customHeight="false" outlineLevel="0" collapsed="false">
      <c r="A212" s="0" t="s">
        <v>234</v>
      </c>
      <c r="C212" s="0" t="n">
        <f aca="false">SUM($C206:C206)</f>
        <v>-32500</v>
      </c>
      <c r="D212" s="0" t="n">
        <f aca="false">SUM($C206:D206)</f>
        <v>-62291.065</v>
      </c>
      <c r="E212" s="0" t="n">
        <f aca="false">SUM($C206:E206)</f>
        <v>-88885.5867</v>
      </c>
      <c r="F212" s="0" t="n">
        <f aca="false">SUM($C206:F206)</f>
        <v>-111795.9568</v>
      </c>
      <c r="G212" s="0" t="n">
        <f aca="false">SUM($C206:G206)</f>
        <v>-133243.502</v>
      </c>
      <c r="H212" s="0" t="n">
        <f aca="false">SUM($C206:H206)</f>
        <v>-150519.2873</v>
      </c>
      <c r="I212" s="0" t="n">
        <f aca="false">SUM($C206:I206)</f>
        <v>-180844.6394</v>
      </c>
      <c r="J212" s="0" t="n">
        <f aca="false">SUM($C206:J206)</f>
        <v>-206510.6233</v>
      </c>
      <c r="K212" s="0" t="n">
        <f aca="false">SUM($C206:K206)</f>
        <v>-229738.5657</v>
      </c>
      <c r="L212" s="0" t="n">
        <f aca="false">SUM($C206:L206)</f>
        <v>-250528.4666</v>
      </c>
      <c r="M212" s="0" t="n">
        <f aca="false">SUM($C206:M206)</f>
        <v>-266171.391</v>
      </c>
      <c r="N212" s="0" t="n">
        <f aca="false">SUM($C206:N206)</f>
        <v>-278888.6656</v>
      </c>
    </row>
    <row r="213" customFormat="false" ht="15" hidden="false" customHeight="false" outlineLevel="0" collapsed="false">
      <c r="A213" s="0" t="s">
        <v>235</v>
      </c>
      <c r="C213" s="0" t="n">
        <f aca="false">IF(C206&gt;=0,C192,99)</f>
        <v>99</v>
      </c>
      <c r="D213" s="0" t="n">
        <f aca="false">IF(D206&gt;=0,D192,99)</f>
        <v>99</v>
      </c>
      <c r="E213" s="0" t="n">
        <f aca="false">IF(E206&gt;=0,E192,99)</f>
        <v>99</v>
      </c>
      <c r="F213" s="0" t="n">
        <f aca="false">IF(F206&gt;=0,F192,99)</f>
        <v>99</v>
      </c>
      <c r="G213" s="0" t="n">
        <f aca="false">IF(G206&gt;=0,G192,99)</f>
        <v>99</v>
      </c>
      <c r="H213" s="0" t="n">
        <f aca="false">IF(H206&gt;=0,H192,99)</f>
        <v>99</v>
      </c>
      <c r="I213" s="0" t="n">
        <f aca="false">IF(I206&gt;=0,I192,99)</f>
        <v>99</v>
      </c>
      <c r="J213" s="0" t="n">
        <f aca="false">IF(J206&gt;=0,J192,99)</f>
        <v>99</v>
      </c>
      <c r="K213" s="0" t="n">
        <f aca="false">IF(K206&gt;=0,K192,99)</f>
        <v>99</v>
      </c>
      <c r="L213" s="0" t="n">
        <f aca="false">IF(L206&gt;=0,L192,99)</f>
        <v>99</v>
      </c>
      <c r="M213" s="0" t="n">
        <f aca="false">IF(M206&gt;=0,M192,99)</f>
        <v>99</v>
      </c>
      <c r="N213" s="0" t="n">
        <f aca="false">IF(N206&gt;=0,N192,99)</f>
        <v>99</v>
      </c>
    </row>
    <row r="214" customFormat="false" ht="15" hidden="false" customHeight="false" outlineLevel="0" collapsed="false">
      <c r="A214" s="0" t="s">
        <v>236</v>
      </c>
      <c r="C214" s="0" t="n">
        <f aca="false">IF(C204&gt;=0,C192,99)</f>
        <v>99</v>
      </c>
      <c r="D214" s="0" t="n">
        <f aca="false">IF(D204&gt;=0,D192,99)</f>
        <v>99</v>
      </c>
      <c r="E214" s="0" t="n">
        <f aca="false">IF(E204&gt;=0,E192,99)</f>
        <v>99</v>
      </c>
      <c r="F214" s="0" t="n">
        <f aca="false">IF(F204&gt;=0,F192,99)</f>
        <v>99</v>
      </c>
      <c r="G214" s="0" t="n">
        <f aca="false">IF(G204&gt;=0,G192,99)</f>
        <v>99</v>
      </c>
      <c r="H214" s="0" t="n">
        <f aca="false">IF(H204&gt;=0,H192,99)</f>
        <v>99</v>
      </c>
      <c r="I214" s="0" t="n">
        <f aca="false">IF(I204&gt;=0,I192,99)</f>
        <v>99</v>
      </c>
      <c r="J214" s="0" t="n">
        <f aca="false">IF(J204&gt;=0,J192,99)</f>
        <v>99</v>
      </c>
      <c r="K214" s="0" t="n">
        <f aca="false">IF(K204&gt;=0,K192,99)</f>
        <v>99</v>
      </c>
      <c r="L214" s="0" t="n">
        <f aca="false">IF(L204&gt;=0,L192,99)</f>
        <v>99</v>
      </c>
      <c r="M214" s="0" t="n">
        <f aca="false">IF(M204&gt;=0,M192,99)</f>
        <v>99</v>
      </c>
      <c r="N214" s="0" t="n">
        <f aca="false">IF(N204&gt;=0,N192,99)</f>
        <v>12</v>
      </c>
    </row>
    <row r="215" customFormat="false" ht="15" hidden="false" customHeight="false" outlineLevel="0" collapsed="false">
      <c r="A215" s="5" t="s">
        <v>237</v>
      </c>
      <c r="B215" s="3" t="n">
        <f aca="false">O198</f>
        <v>991800</v>
      </c>
    </row>
    <row r="216" customFormat="false" ht="15" hidden="false" customHeight="false" outlineLevel="0" collapsed="false">
      <c r="A216" s="5" t="s">
        <v>238</v>
      </c>
      <c r="B216" s="3" t="n">
        <f aca="false">O201</f>
        <v>201111.3344</v>
      </c>
    </row>
    <row r="217" customFormat="false" ht="15" hidden="false" customHeight="false" outlineLevel="0" collapsed="false">
      <c r="A217" s="5" t="s">
        <v>239</v>
      </c>
      <c r="B217" s="3" t="n">
        <f aca="false">O206</f>
        <v>-278888.6656</v>
      </c>
    </row>
    <row r="218" customFormat="false" ht="15" hidden="false" customHeight="false" outlineLevel="0" collapsed="false">
      <c r="A218" s="5" t="s">
        <v>240</v>
      </c>
      <c r="B218" s="3" t="n">
        <f aca="false">MIN(C210:N210)</f>
        <v>-129655.8531</v>
      </c>
    </row>
    <row r="219" customFormat="false" ht="15" hidden="false" customHeight="false" outlineLevel="0" collapsed="false">
      <c r="A219" s="5" t="s">
        <v>241</v>
      </c>
      <c r="B219" s="3" t="n">
        <f aca="false">N210</f>
        <v>-129655.8531</v>
      </c>
    </row>
    <row r="220" customFormat="false" ht="15" hidden="false" customHeight="false" outlineLevel="0" collapsed="false">
      <c r="A220" s="5" t="s">
        <v>242</v>
      </c>
      <c r="B220" s="0" t="str">
        <f aca="false">IF(B218&gt;=0,"YES","NO")</f>
        <v>NO</v>
      </c>
    </row>
    <row r="221" customFormat="false" ht="15" hidden="false" customHeight="false" outlineLevel="0" collapsed="false">
      <c r="A221" s="5" t="s">
        <v>243</v>
      </c>
      <c r="B221" s="0" t="str">
        <f aca="false">IF(B218&gt;=Capital_Allocation!$C$16,"YES","NO")</f>
        <v>NO</v>
      </c>
    </row>
    <row r="222" customFormat="false" ht="15" hidden="false" customHeight="false" outlineLevel="0" collapsed="false">
      <c r="A222" s="5" t="s">
        <v>244</v>
      </c>
      <c r="B222" s="3" t="n">
        <f aca="false">IF(MIN(C214:N214)=99,"none in 12 mo",MIN(C214:N214))</f>
        <v>12</v>
      </c>
    </row>
    <row r="223" customFormat="false" ht="15" hidden="false" customHeight="false" outlineLevel="0" collapsed="false">
      <c r="A223" s="5" t="s">
        <v>245</v>
      </c>
      <c r="B223" s="3" t="n">
        <f aca="false">N206</f>
        <v>-12717.2746</v>
      </c>
    </row>
    <row r="224" customFormat="false" ht="15" hidden="false" customHeight="false" outlineLevel="0" collapsed="false">
      <c r="A224" s="5" t="s">
        <v>246</v>
      </c>
      <c r="B224" s="3" t="n">
        <f aca="false">N211</f>
        <v>85767.1875</v>
      </c>
    </row>
    <row r="225" customFormat="false" ht="15" hidden="false" customHeight="false" outlineLevel="0" collapsed="false">
      <c r="A225" s="5" t="s">
        <v>247</v>
      </c>
      <c r="B225" s="0" t="str">
        <f aca="false">IF(MIN(C213:N213)=99,"none in 12 mo",MIN(C213:N213))</f>
        <v>none in 12 mo</v>
      </c>
    </row>
    <row r="229" customFormat="false" ht="15" hidden="false" customHeight="false" outlineLevel="0" collapsed="false">
      <c r="A229" s="5" t="s">
        <v>253</v>
      </c>
      <c r="P229" s="3" t="s">
        <v>214</v>
      </c>
      <c r="Q229" s="3" t="n">
        <f aca="false">MAX(1,ROUNDUP((Assumptions!$B$10+Scenario_Inputs!$F$27)/30,0))</f>
        <v>1</v>
      </c>
    </row>
    <row r="230" customFormat="false" ht="15" hidden="false" customHeight="false" outlineLevel="0" collapsed="false">
      <c r="A230" s="0" t="s">
        <v>66</v>
      </c>
      <c r="C230" s="0" t="n">
        <v>1</v>
      </c>
      <c r="D230" s="0" t="n">
        <v>2</v>
      </c>
      <c r="E230" s="0" t="n">
        <v>3</v>
      </c>
      <c r="F230" s="0" t="n">
        <v>4</v>
      </c>
      <c r="G230" s="0" t="n">
        <v>5</v>
      </c>
      <c r="H230" s="0" t="n">
        <v>6</v>
      </c>
      <c r="I230" s="0" t="n">
        <v>7</v>
      </c>
      <c r="J230" s="0" t="n">
        <v>8</v>
      </c>
      <c r="K230" s="0" t="n">
        <v>9</v>
      </c>
      <c r="L230" s="0" t="n">
        <v>10</v>
      </c>
      <c r="M230" s="0" t="n">
        <v>11</v>
      </c>
      <c r="N230" s="0" t="n">
        <v>12</v>
      </c>
      <c r="O230" s="5" t="s">
        <v>215</v>
      </c>
    </row>
    <row r="231" customFormat="false" ht="15" hidden="false" customHeight="false" outlineLevel="0" collapsed="false">
      <c r="A231" s="0" t="s">
        <v>216</v>
      </c>
      <c r="C231" s="0" t="n">
        <f aca="false">Assumptions!B$33*Scenario_Inputs!$D$27</f>
        <v>0</v>
      </c>
      <c r="D231" s="0" t="n">
        <f aca="false">Assumptions!C$33*Scenario_Inputs!$D$27</f>
        <v>1</v>
      </c>
      <c r="E231" s="0" t="n">
        <f aca="false">Assumptions!D$33*Scenario_Inputs!$D$27</f>
        <v>2</v>
      </c>
      <c r="F231" s="0" t="n">
        <f aca="false">Assumptions!E$33*Scenario_Inputs!$D$27</f>
        <v>3</v>
      </c>
      <c r="G231" s="0" t="n">
        <f aca="false">Assumptions!F$33*Scenario_Inputs!$D$27</f>
        <v>3</v>
      </c>
      <c r="H231" s="0" t="n">
        <f aca="false">Assumptions!G$33*Scenario_Inputs!$D$27</f>
        <v>4</v>
      </c>
      <c r="I231" s="0" t="n">
        <f aca="false">Assumptions!H$33*Scenario_Inputs!$D$27</f>
        <v>4</v>
      </c>
      <c r="J231" s="0" t="n">
        <f aca="false">Assumptions!I$33*Scenario_Inputs!$D$27</f>
        <v>5</v>
      </c>
      <c r="K231" s="0" t="n">
        <f aca="false">Assumptions!J$33*Scenario_Inputs!$D$27</f>
        <v>5</v>
      </c>
      <c r="L231" s="0" t="n">
        <f aca="false">Assumptions!K$33*Scenario_Inputs!$D$27</f>
        <v>5</v>
      </c>
      <c r="M231" s="0" t="n">
        <f aca="false">Assumptions!L$33*Scenario_Inputs!$D$27</f>
        <v>6</v>
      </c>
      <c r="N231" s="0" t="n">
        <f aca="false">Assumptions!M$33*Scenario_Inputs!$D$27</f>
        <v>6</v>
      </c>
      <c r="O231" s="0" t="n">
        <f aca="false">SUM(C231:N231)</f>
        <v>44</v>
      </c>
    </row>
    <row r="232" customFormat="false" ht="15" hidden="false" customHeight="false" outlineLevel="0" collapsed="false">
      <c r="A232" s="0" t="s">
        <v>217</v>
      </c>
      <c r="C232" s="0" t="n">
        <v>0</v>
      </c>
      <c r="D232" s="0" t="n">
        <f aca="false">SUM($C231:C231)</f>
        <v>0</v>
      </c>
      <c r="E232" s="0" t="n">
        <f aca="false">SUM($C231:D231)</f>
        <v>1</v>
      </c>
      <c r="F232" s="0" t="n">
        <f aca="false">SUM($C231:E231)</f>
        <v>3</v>
      </c>
      <c r="G232" s="0" t="n">
        <f aca="false">SUM($C231:F231)</f>
        <v>6</v>
      </c>
      <c r="H232" s="0" t="n">
        <f aca="false">SUM($C231:G231)</f>
        <v>9</v>
      </c>
      <c r="I232" s="0" t="n">
        <f aca="false">SUM($C231:H231)</f>
        <v>13</v>
      </c>
      <c r="J232" s="0" t="n">
        <f aca="false">SUM($C231:I231)</f>
        <v>17</v>
      </c>
      <c r="K232" s="0" t="n">
        <f aca="false">SUM($C231:J231)</f>
        <v>22</v>
      </c>
      <c r="L232" s="0" t="n">
        <f aca="false">SUM($C231:K231)</f>
        <v>27</v>
      </c>
      <c r="M232" s="0" t="n">
        <f aca="false">SUM($C231:L231)</f>
        <v>32</v>
      </c>
      <c r="N232" s="0" t="n">
        <f aca="false">SUM($C231:M231)</f>
        <v>38</v>
      </c>
    </row>
    <row r="233" customFormat="false" ht="15" hidden="false" customHeight="false" outlineLevel="0" collapsed="false">
      <c r="A233" s="0" t="s">
        <v>218</v>
      </c>
      <c r="C233" s="0" t="n">
        <f aca="false">C232*Assumptions!$B$11*Scenario_Inputs!$E$27</f>
        <v>0</v>
      </c>
      <c r="D233" s="0" t="n">
        <f aca="false">D232*Assumptions!$B$11*Scenario_Inputs!$E$27</f>
        <v>0</v>
      </c>
      <c r="E233" s="0" t="n">
        <f aca="false">E232*Assumptions!$B$11*Scenario_Inputs!$E$27</f>
        <v>0.18</v>
      </c>
      <c r="F233" s="0" t="n">
        <f aca="false">F232*Assumptions!$B$11*Scenario_Inputs!$E$27</f>
        <v>0.54</v>
      </c>
      <c r="G233" s="0" t="n">
        <f aca="false">G232*Assumptions!$B$11*Scenario_Inputs!$E$27</f>
        <v>1.08</v>
      </c>
      <c r="H233" s="0" t="n">
        <f aca="false">H232*Assumptions!$B$11*Scenario_Inputs!$E$27</f>
        <v>1.62</v>
      </c>
      <c r="I233" s="0" t="n">
        <f aca="false">I232*Assumptions!$B$11*Scenario_Inputs!$E$27</f>
        <v>2.34</v>
      </c>
      <c r="J233" s="0" t="n">
        <f aca="false">J232*Assumptions!$B$11*Scenario_Inputs!$E$27</f>
        <v>3.06</v>
      </c>
      <c r="K233" s="0" t="n">
        <f aca="false">K232*Assumptions!$B$11*Scenario_Inputs!$E$27</f>
        <v>3.96</v>
      </c>
      <c r="L233" s="0" t="n">
        <f aca="false">L232*Assumptions!$B$11*Scenario_Inputs!$E$27</f>
        <v>4.86</v>
      </c>
      <c r="M233" s="0" t="n">
        <f aca="false">M232*Assumptions!$B$11*Scenario_Inputs!$E$27</f>
        <v>5.76</v>
      </c>
      <c r="N233" s="0" t="n">
        <f aca="false">N232*Assumptions!$B$11*Scenario_Inputs!$E$27</f>
        <v>6.84</v>
      </c>
      <c r="O233" s="0" t="n">
        <f aca="false">SUM(C233:N233)</f>
        <v>30.24</v>
      </c>
    </row>
    <row r="234" customFormat="false" ht="15" hidden="false" customHeight="false" outlineLevel="0" collapsed="false">
      <c r="A234" s="0" t="s">
        <v>219</v>
      </c>
      <c r="C234" s="0" t="n">
        <f aca="false">C231+C233</f>
        <v>0</v>
      </c>
      <c r="D234" s="0" t="n">
        <f aca="false">D231+D233</f>
        <v>1</v>
      </c>
      <c r="E234" s="0" t="n">
        <f aca="false">E231+E233</f>
        <v>2.18</v>
      </c>
      <c r="F234" s="0" t="n">
        <f aca="false">F231+F233</f>
        <v>3.54</v>
      </c>
      <c r="G234" s="0" t="n">
        <f aca="false">G231+G233</f>
        <v>4.08</v>
      </c>
      <c r="H234" s="0" t="n">
        <f aca="false">H231+H233</f>
        <v>5.62</v>
      </c>
      <c r="I234" s="0" t="n">
        <f aca="false">I231+I233</f>
        <v>6.34</v>
      </c>
      <c r="J234" s="0" t="n">
        <f aca="false">J231+J233</f>
        <v>8.06</v>
      </c>
      <c r="K234" s="0" t="n">
        <f aca="false">K231+K233</f>
        <v>8.96</v>
      </c>
      <c r="L234" s="0" t="n">
        <f aca="false">L231+L233</f>
        <v>9.86</v>
      </c>
      <c r="M234" s="0" t="n">
        <f aca="false">M231+M233</f>
        <v>11.76</v>
      </c>
      <c r="N234" s="0" t="n">
        <f aca="false">N231+N233</f>
        <v>12.84</v>
      </c>
      <c r="O234" s="0" t="n">
        <f aca="false">SUM(C234:N234)</f>
        <v>74.24</v>
      </c>
    </row>
    <row r="235" customFormat="false" ht="15" hidden="false" customHeight="false" outlineLevel="0" collapsed="false">
      <c r="A235" s="0" t="s">
        <v>220</v>
      </c>
      <c r="C235" s="0" t="n">
        <f aca="false">C234*Assumptions!$B$5*Scenario_Inputs!G$28</f>
        <v>0</v>
      </c>
      <c r="D235" s="0" t="n">
        <f aca="false">D234*Assumptions!$B$5*Scenario_Inputs!H$28</f>
        <v>26718.75</v>
      </c>
      <c r="E235" s="0" t="n">
        <f aca="false">E234*Assumptions!$B$5*Scenario_Inputs!I$28</f>
        <v>58246.875</v>
      </c>
      <c r="F235" s="0" t="n">
        <f aca="false">F234*Assumptions!$B$5*Scenario_Inputs!J$28</f>
        <v>94584.375</v>
      </c>
      <c r="G235" s="0" t="n">
        <f aca="false">G234*Assumptions!$B$5*Scenario_Inputs!K$28</f>
        <v>109012.5</v>
      </c>
      <c r="H235" s="0" t="n">
        <f aca="false">H234*Assumptions!$B$5*Scenario_Inputs!L$28</f>
        <v>150159.375</v>
      </c>
      <c r="I235" s="0" t="n">
        <f aca="false">I234*Assumptions!$B$5*Scenario_Inputs!M$28</f>
        <v>169396.875</v>
      </c>
      <c r="J235" s="0" t="n">
        <f aca="false">J234*Assumptions!$B$5*Scenario_Inputs!N$28</f>
        <v>215353.125</v>
      </c>
      <c r="K235" s="0" t="n">
        <f aca="false">K234*Assumptions!$B$5*Scenario_Inputs!O$28</f>
        <v>239400</v>
      </c>
      <c r="L235" s="0" t="n">
        <f aca="false">L234*Assumptions!$B$5*Scenario_Inputs!P$28</f>
        <v>263446.875</v>
      </c>
      <c r="M235" s="0" t="n">
        <f aca="false">M234*Assumptions!$B$5*Scenario_Inputs!Q$28</f>
        <v>314212.5</v>
      </c>
      <c r="N235" s="0" t="n">
        <f aca="false">N234*Assumptions!$B$5*Scenario_Inputs!R$28</f>
        <v>343068.75</v>
      </c>
      <c r="O235" s="0" t="n">
        <f aca="false">SUM(C235:N235)</f>
        <v>1983600</v>
      </c>
    </row>
    <row r="236" customFormat="false" ht="15" hidden="false" customHeight="false" outlineLevel="0" collapsed="false">
      <c r="A236" s="0" t="s">
        <v>221</v>
      </c>
      <c r="C236" s="0" t="n">
        <f aca="false">C235*Scenario_Inputs!$B$27</f>
        <v>0</v>
      </c>
      <c r="D236" s="0" t="n">
        <f aca="false">D235*Scenario_Inputs!$B$27</f>
        <v>26718.75</v>
      </c>
      <c r="E236" s="0" t="n">
        <f aca="false">E235*Scenario_Inputs!$B$27</f>
        <v>58246.875</v>
      </c>
      <c r="F236" s="0" t="n">
        <f aca="false">F235*Scenario_Inputs!$B$27</f>
        <v>94584.375</v>
      </c>
      <c r="G236" s="0" t="n">
        <f aca="false">G235*Scenario_Inputs!$B$27</f>
        <v>109012.5</v>
      </c>
      <c r="H236" s="0" t="n">
        <f aca="false">H235*Scenario_Inputs!$B$27</f>
        <v>150159.375</v>
      </c>
      <c r="I236" s="0" t="n">
        <f aca="false">I235*Scenario_Inputs!$B$27</f>
        <v>169396.875</v>
      </c>
      <c r="J236" s="0" t="n">
        <f aca="false">J235*Scenario_Inputs!$B$27</f>
        <v>215353.125</v>
      </c>
      <c r="K236" s="0" t="n">
        <f aca="false">K235*Scenario_Inputs!$B$27</f>
        <v>239400</v>
      </c>
      <c r="L236" s="0" t="n">
        <f aca="false">L235*Scenario_Inputs!$B$27</f>
        <v>263446.875</v>
      </c>
      <c r="M236" s="0" t="n">
        <f aca="false">M235*Scenario_Inputs!$B$27</f>
        <v>314212.5</v>
      </c>
      <c r="N236" s="0" t="n">
        <f aca="false">N235*Scenario_Inputs!$B$27</f>
        <v>343068.75</v>
      </c>
      <c r="O236" s="0" t="n">
        <f aca="false">SUM(C236:N236)</f>
        <v>1983600</v>
      </c>
    </row>
    <row r="237" customFormat="false" ht="15" hidden="false" customHeight="false" outlineLevel="0" collapsed="false">
      <c r="A237" s="0" t="s">
        <v>222</v>
      </c>
      <c r="C237" s="0" t="n">
        <f aca="false">C235*(1-Assumptions!$B$6)*Scenario_Inputs!$C$27*(1+(1-Assumptions!$B$26)*Assumptions!$B$21*Assumptions!$B$27)</f>
        <v>0</v>
      </c>
      <c r="D237" s="0" t="n">
        <f aca="false">D235*(1-Assumptions!$B$6)*Scenario_Inputs!$C$27*(1+(1-Assumptions!$B$26)*Assumptions!$B$21*Assumptions!$B$27)</f>
        <v>22652.41825</v>
      </c>
      <c r="E237" s="0" t="n">
        <f aca="false">E235*(1-Assumptions!$B$6)*Scenario_Inputs!$C$27*(1+(1-Assumptions!$B$26)*Assumptions!$B$21*Assumptions!$B$27)</f>
        <v>49382.271785</v>
      </c>
      <c r="F237" s="0" t="n">
        <f aca="false">F235*(1-Assumptions!$B$6)*Scenario_Inputs!$C$27*(1+(1-Assumptions!$B$26)*Assumptions!$B$21*Assumptions!$B$27)</f>
        <v>80189.560605</v>
      </c>
      <c r="G237" s="0" t="n">
        <f aca="false">G235*(1-Assumptions!$B$6)*Scenario_Inputs!$C$27*(1+(1-Assumptions!$B$26)*Assumptions!$B$21*Assumptions!$B$27)</f>
        <v>92421.86646</v>
      </c>
      <c r="H237" s="0" t="n">
        <f aca="false">H235*(1-Assumptions!$B$6)*Scenario_Inputs!$C$27*(1+(1-Assumptions!$B$26)*Assumptions!$B$21*Assumptions!$B$27)</f>
        <v>127306.590565</v>
      </c>
      <c r="I237" s="0" t="n">
        <f aca="false">I235*(1-Assumptions!$B$6)*Scenario_Inputs!$C$27*(1+(1-Assumptions!$B$26)*Assumptions!$B$21*Assumptions!$B$27)</f>
        <v>143616.331705</v>
      </c>
      <c r="J237" s="0" t="n">
        <f aca="false">J235*(1-Assumptions!$B$6)*Scenario_Inputs!$C$27*(1+(1-Assumptions!$B$26)*Assumptions!$B$21*Assumptions!$B$27)</f>
        <v>182578.491095</v>
      </c>
      <c r="K237" s="0" t="n">
        <f aca="false">K235*(1-Assumptions!$B$6)*Scenario_Inputs!$C$27*(1+(1-Assumptions!$B$26)*Assumptions!$B$21*Assumptions!$B$27)</f>
        <v>202965.66752</v>
      </c>
      <c r="L237" s="0" t="n">
        <f aca="false">L235*(1-Assumptions!$B$6)*Scenario_Inputs!$C$27*(1+(1-Assumptions!$B$26)*Assumptions!$B$21*Assumptions!$B$27)</f>
        <v>223352.843945</v>
      </c>
      <c r="M237" s="0" t="n">
        <f aca="false">M235*(1-Assumptions!$B$6)*Scenario_Inputs!$C$27*(1+(1-Assumptions!$B$26)*Assumptions!$B$21*Assumptions!$B$27)</f>
        <v>266392.43862</v>
      </c>
      <c r="N237" s="0" t="n">
        <f aca="false">N235*(1-Assumptions!$B$6)*Scenario_Inputs!$C$27*(1+(1-Assumptions!$B$26)*Assumptions!$B$21*Assumptions!$B$27)</f>
        <v>290857.05033</v>
      </c>
      <c r="O237" s="0" t="n">
        <f aca="false">SUM(C237:N237)</f>
        <v>1681715.53088</v>
      </c>
    </row>
    <row r="238" customFormat="false" ht="15" hidden="false" customHeight="false" outlineLevel="0" collapsed="false">
      <c r="A238" s="0" t="s">
        <v>223</v>
      </c>
      <c r="C238" s="0" t="n">
        <f aca="false">C236*(Assumptions!$B$7+Assumptions!$B$8)</f>
        <v>0</v>
      </c>
      <c r="D238" s="0" t="n">
        <f aca="false">D236*(Assumptions!$B$7+Assumptions!$B$8)</f>
        <v>1603.125</v>
      </c>
      <c r="E238" s="0" t="n">
        <f aca="false">E236*(Assumptions!$B$7+Assumptions!$B$8)</f>
        <v>3494.8125</v>
      </c>
      <c r="F238" s="0" t="n">
        <f aca="false">F236*(Assumptions!$B$7+Assumptions!$B$8)</f>
        <v>5675.0625</v>
      </c>
      <c r="G238" s="0" t="n">
        <f aca="false">G236*(Assumptions!$B$7+Assumptions!$B$8)</f>
        <v>6540.75</v>
      </c>
      <c r="H238" s="0" t="n">
        <f aca="false">H236*(Assumptions!$B$7+Assumptions!$B$8)</f>
        <v>9009.5625</v>
      </c>
      <c r="I238" s="0" t="n">
        <f aca="false">I236*(Assumptions!$B$7+Assumptions!$B$8)</f>
        <v>10163.8125</v>
      </c>
      <c r="J238" s="0" t="n">
        <f aca="false">J236*(Assumptions!$B$7+Assumptions!$B$8)</f>
        <v>12921.1875</v>
      </c>
      <c r="K238" s="0" t="n">
        <f aca="false">K236*(Assumptions!$B$7+Assumptions!$B$8)</f>
        <v>14364</v>
      </c>
      <c r="L238" s="0" t="n">
        <f aca="false">L236*(Assumptions!$B$7+Assumptions!$B$8)</f>
        <v>15806.8125</v>
      </c>
      <c r="M238" s="0" t="n">
        <f aca="false">M236*(Assumptions!$B$7+Assumptions!$B$8)</f>
        <v>18852.75</v>
      </c>
      <c r="N238" s="0" t="n">
        <f aca="false">N236*(Assumptions!$B$7+Assumptions!$B$8)</f>
        <v>20584.125</v>
      </c>
      <c r="O238" s="0" t="n">
        <f aca="false">SUM(C238:N238)</f>
        <v>119016</v>
      </c>
    </row>
    <row r="239" customFormat="false" ht="15" hidden="false" customHeight="false" outlineLevel="0" collapsed="false">
      <c r="A239" s="0" t="s">
        <v>198</v>
      </c>
      <c r="C239" s="0" t="n">
        <f aca="false">C236-C237-C238</f>
        <v>0</v>
      </c>
      <c r="D239" s="0" t="n">
        <f aca="false">D236-D237-D238</f>
        <v>2463.20675</v>
      </c>
      <c r="E239" s="0" t="n">
        <f aca="false">E236-E237-E238</f>
        <v>5369.790715</v>
      </c>
      <c r="F239" s="0" t="n">
        <f aca="false">F236-F237-F238</f>
        <v>8719.75189500001</v>
      </c>
      <c r="G239" s="0" t="n">
        <f aca="false">G236-G237-G238</f>
        <v>10049.88354</v>
      </c>
      <c r="H239" s="0" t="n">
        <f aca="false">H236-H237-H238</f>
        <v>13843.221935</v>
      </c>
      <c r="I239" s="0" t="n">
        <f aca="false">I236-I237-I238</f>
        <v>15616.730795</v>
      </c>
      <c r="J239" s="0" t="n">
        <f aca="false">J236-J237-J238</f>
        <v>19853.446405</v>
      </c>
      <c r="K239" s="0" t="n">
        <f aca="false">K236-K237-K238</f>
        <v>22070.33248</v>
      </c>
      <c r="L239" s="0" t="n">
        <f aca="false">L236-L237-L238</f>
        <v>24287.218555</v>
      </c>
      <c r="M239" s="0" t="n">
        <f aca="false">M236-M237-M238</f>
        <v>28967.31138</v>
      </c>
      <c r="N239" s="0" t="n">
        <f aca="false">N236-N237-N238</f>
        <v>31627.57467</v>
      </c>
      <c r="O239" s="0" t="n">
        <f aca="false">SUM(C239:N239)</f>
        <v>182868.46912</v>
      </c>
    </row>
    <row r="240" customFormat="false" ht="15" hidden="false" customHeight="false" outlineLevel="0" collapsed="false">
      <c r="A240" s="0" t="s">
        <v>224</v>
      </c>
      <c r="C240" s="0" t="n">
        <f aca="false">Assumptions!$B$29</f>
        <v>32500</v>
      </c>
      <c r="D240" s="0" t="n">
        <f aca="false">Assumptions!$B$29</f>
        <v>32500</v>
      </c>
      <c r="E240" s="0" t="n">
        <f aca="false">Assumptions!$B$29</f>
        <v>32500</v>
      </c>
      <c r="F240" s="0" t="n">
        <f aca="false">Assumptions!$B$29</f>
        <v>32500</v>
      </c>
      <c r="G240" s="0" t="n">
        <f aca="false">Assumptions!$B$29</f>
        <v>32500</v>
      </c>
      <c r="H240" s="0" t="n">
        <f aca="false">Assumptions!$B$29</f>
        <v>32500</v>
      </c>
      <c r="I240" s="0" t="n">
        <f aca="false">Assumptions!$B$29</f>
        <v>32500</v>
      </c>
      <c r="J240" s="0" t="n">
        <f aca="false">Assumptions!$B$29</f>
        <v>32500</v>
      </c>
      <c r="K240" s="0" t="n">
        <f aca="false">Assumptions!$B$29</f>
        <v>32500</v>
      </c>
      <c r="L240" s="0" t="n">
        <f aca="false">Assumptions!$B$29</f>
        <v>32500</v>
      </c>
      <c r="M240" s="0" t="n">
        <f aca="false">Assumptions!$B$29</f>
        <v>32500</v>
      </c>
      <c r="N240" s="0" t="n">
        <f aca="false">Assumptions!$B$29</f>
        <v>32500</v>
      </c>
      <c r="O240" s="0" t="n">
        <f aca="false">SUM(C240:N240)</f>
        <v>390000</v>
      </c>
    </row>
    <row r="241" customFormat="false" ht="15" hidden="false" customHeight="false" outlineLevel="0" collapsed="false">
      <c r="A241" s="0" t="s">
        <v>225</v>
      </c>
      <c r="C241" s="0" t="n">
        <f aca="false">Scenario_Inputs!G$29</f>
        <v>0</v>
      </c>
      <c r="D241" s="0" t="n">
        <f aca="false">Scenario_Inputs!H$29</f>
        <v>0</v>
      </c>
      <c r="E241" s="0" t="n">
        <f aca="false">Scenario_Inputs!I$29</f>
        <v>0</v>
      </c>
      <c r="F241" s="0" t="n">
        <f aca="false">Scenario_Inputs!J$29</f>
        <v>0</v>
      </c>
      <c r="G241" s="0" t="n">
        <f aca="false">Scenario_Inputs!K$29</f>
        <v>0</v>
      </c>
      <c r="H241" s="0" t="n">
        <f aca="false">Scenario_Inputs!L$29</f>
        <v>0</v>
      </c>
      <c r="I241" s="0" t="n">
        <f aca="false">Scenario_Inputs!M$29</f>
        <v>0</v>
      </c>
      <c r="J241" s="0" t="n">
        <f aca="false">Scenario_Inputs!N$29</f>
        <v>0</v>
      </c>
      <c r="K241" s="0" t="n">
        <f aca="false">Scenario_Inputs!O$29</f>
        <v>0</v>
      </c>
      <c r="L241" s="0" t="n">
        <f aca="false">Scenario_Inputs!P$29</f>
        <v>0</v>
      </c>
      <c r="M241" s="0" t="n">
        <f aca="false">Scenario_Inputs!Q$29</f>
        <v>0</v>
      </c>
      <c r="N241" s="0" t="n">
        <f aca="false">Scenario_Inputs!R$29</f>
        <v>0</v>
      </c>
      <c r="O241" s="0" t="n">
        <f aca="false">SUM(C241:N241)</f>
        <v>0</v>
      </c>
    </row>
    <row r="242" customFormat="false" ht="15" hidden="false" customHeight="false" outlineLevel="0" collapsed="false">
      <c r="A242" s="0" t="s">
        <v>226</v>
      </c>
      <c r="C242" s="0" t="n">
        <f aca="false">C239-C240-C241</f>
        <v>-32500</v>
      </c>
      <c r="D242" s="0" t="n">
        <f aca="false">D239-D240-D241</f>
        <v>-30036.79325</v>
      </c>
      <c r="E242" s="0" t="n">
        <f aca="false">E239-E240-E241</f>
        <v>-27130.209285</v>
      </c>
      <c r="F242" s="0" t="n">
        <f aca="false">F239-F240-F241</f>
        <v>-23780.248105</v>
      </c>
      <c r="G242" s="0" t="n">
        <f aca="false">G239-G240-G241</f>
        <v>-22450.11646</v>
      </c>
      <c r="H242" s="0" t="n">
        <f aca="false">H239-H240-H241</f>
        <v>-18656.778065</v>
      </c>
      <c r="I242" s="0" t="n">
        <f aca="false">I239-I240-I241</f>
        <v>-16883.269205</v>
      </c>
      <c r="J242" s="0" t="n">
        <f aca="false">J239-J240-J241</f>
        <v>-12646.553595</v>
      </c>
      <c r="K242" s="0" t="n">
        <f aca="false">K239-K240-K241</f>
        <v>-10429.66752</v>
      </c>
      <c r="L242" s="0" t="n">
        <f aca="false">L239-L240-L241</f>
        <v>-8212.78144500003</v>
      </c>
      <c r="M242" s="0" t="n">
        <f aca="false">M239-M240-M241</f>
        <v>-3532.68861999997</v>
      </c>
      <c r="N242" s="0" t="n">
        <f aca="false">N239-N240-N241</f>
        <v>-872.425329999998</v>
      </c>
      <c r="O242" s="0" t="n">
        <f aca="false">SUM(C242:N242)</f>
        <v>-207131.53088</v>
      </c>
    </row>
    <row r="243" customFormat="false" ht="15" hidden="false" customHeight="false" outlineLevel="0" collapsed="false">
      <c r="A243" s="0" t="s">
        <v>227</v>
      </c>
      <c r="C243" s="0" t="n">
        <f aca="false">IF(C230&gt;=Assumptions!$B$13,Assumptions!$B$12,0)</f>
        <v>0</v>
      </c>
      <c r="D243" s="0" t="n">
        <f aca="false">IF(D230&gt;=Assumptions!$B$13,Assumptions!$B$12,0)</f>
        <v>0</v>
      </c>
      <c r="E243" s="0" t="n">
        <f aca="false">IF(E230&gt;=Assumptions!$B$13,Assumptions!$B$12,0)</f>
        <v>0</v>
      </c>
      <c r="F243" s="0" t="n">
        <f aca="false">IF(F230&gt;=Assumptions!$B$13,Assumptions!$B$12,0)</f>
        <v>0</v>
      </c>
      <c r="G243" s="0" t="n">
        <f aca="false">IF(G230&gt;=Assumptions!$B$13,Assumptions!$B$12,0)</f>
        <v>0</v>
      </c>
      <c r="H243" s="0" t="n">
        <f aca="false">IF(H230&gt;=Assumptions!$B$13,Assumptions!$B$12,0)</f>
        <v>0</v>
      </c>
      <c r="I243" s="0" t="n">
        <f aca="false">IF(I230&gt;=Assumptions!$B$13,Assumptions!$B$12,0)</f>
        <v>15000</v>
      </c>
      <c r="J243" s="0" t="n">
        <f aca="false">IF(J230&gt;=Assumptions!$B$13,Assumptions!$B$12,0)</f>
        <v>15000</v>
      </c>
      <c r="K243" s="0" t="n">
        <f aca="false">IF(K230&gt;=Assumptions!$B$13,Assumptions!$B$12,0)</f>
        <v>15000</v>
      </c>
      <c r="L243" s="0" t="n">
        <f aca="false">IF(L230&gt;=Assumptions!$B$13,Assumptions!$B$12,0)</f>
        <v>15000</v>
      </c>
      <c r="M243" s="0" t="n">
        <f aca="false">IF(M230&gt;=Assumptions!$B$13,Assumptions!$B$12,0)</f>
        <v>15000</v>
      </c>
      <c r="N243" s="0" t="n">
        <f aca="false">IF(N230&gt;=Assumptions!$B$13,Assumptions!$B$12,0)</f>
        <v>15000</v>
      </c>
      <c r="O243" s="0" t="n">
        <f aca="false">SUM(C243:N243)</f>
        <v>90000</v>
      </c>
    </row>
    <row r="244" customFormat="false" ht="15" hidden="false" customHeight="false" outlineLevel="0" collapsed="false">
      <c r="A244" s="0" t="s">
        <v>228</v>
      </c>
      <c r="C244" s="0" t="n">
        <f aca="false">C242-C243</f>
        <v>-32500</v>
      </c>
      <c r="D244" s="0" t="n">
        <f aca="false">D242-D243</f>
        <v>-30036.79325</v>
      </c>
      <c r="E244" s="0" t="n">
        <f aca="false">E242-E243</f>
        <v>-27130.209285</v>
      </c>
      <c r="F244" s="0" t="n">
        <f aca="false">F242-F243</f>
        <v>-23780.248105</v>
      </c>
      <c r="G244" s="0" t="n">
        <f aca="false">G242-G243</f>
        <v>-22450.11646</v>
      </c>
      <c r="H244" s="0" t="n">
        <f aca="false">H242-H243</f>
        <v>-18656.778065</v>
      </c>
      <c r="I244" s="0" t="n">
        <f aca="false">I242-I243</f>
        <v>-31883.269205</v>
      </c>
      <c r="J244" s="0" t="n">
        <f aca="false">J242-J243</f>
        <v>-27646.553595</v>
      </c>
      <c r="K244" s="0" t="n">
        <f aca="false">K242-K243</f>
        <v>-25429.66752</v>
      </c>
      <c r="L244" s="0" t="n">
        <f aca="false">L242-L243</f>
        <v>-23212.781445</v>
      </c>
      <c r="M244" s="0" t="n">
        <f aca="false">M242-M243</f>
        <v>-18532.68862</v>
      </c>
      <c r="N244" s="0" t="n">
        <f aca="false">N242-N243</f>
        <v>-15872.42533</v>
      </c>
      <c r="O244" s="0" t="n">
        <f aca="false">SUM(C244:N244)</f>
        <v>-297131.53088</v>
      </c>
    </row>
    <row r="245" customFormat="false" ht="15" hidden="false" customHeight="false" outlineLevel="0" collapsed="false">
      <c r="A245" s="0" t="s">
        <v>229</v>
      </c>
      <c r="C245" s="0" t="n">
        <f aca="false">Assumptions!$B$9*C236+(1-Assumptions!$B$9)*IF(C230-$Q$229&gt;=1,INDEX($C236:$N236,C230-$Q$229),0)</f>
        <v>0</v>
      </c>
      <c r="D245" s="0" t="n">
        <f aca="false">Assumptions!$B$9*D236+(1-Assumptions!$B$9)*IF(D230-$Q$229&gt;=1,INDEX($C236:$N236,D230-$Q$229),0)</f>
        <v>13359.375</v>
      </c>
      <c r="E245" s="0" t="n">
        <f aca="false">Assumptions!$B$9*E236+(1-Assumptions!$B$9)*IF(E230-$Q$229&gt;=1,INDEX($C236:$N236,E230-$Q$229),0)</f>
        <v>42482.8125</v>
      </c>
      <c r="F245" s="0" t="n">
        <f aca="false">Assumptions!$B$9*F236+(1-Assumptions!$B$9)*IF(F230-$Q$229&gt;=1,INDEX($C236:$N236,F230-$Q$229),0)</f>
        <v>76415.625</v>
      </c>
      <c r="G245" s="0" t="n">
        <f aca="false">Assumptions!$B$9*G236+(1-Assumptions!$B$9)*IF(G230-$Q$229&gt;=1,INDEX($C236:$N236,G230-$Q$229),0)</f>
        <v>101798.4375</v>
      </c>
      <c r="H245" s="0" t="n">
        <f aca="false">Assumptions!$B$9*H236+(1-Assumptions!$B$9)*IF(H230-$Q$229&gt;=1,INDEX($C236:$N236,H230-$Q$229),0)</f>
        <v>129585.9375</v>
      </c>
      <c r="I245" s="0" t="n">
        <f aca="false">Assumptions!$B$9*I236+(1-Assumptions!$B$9)*IF(I230-$Q$229&gt;=1,INDEX($C236:$N236,I230-$Q$229),0)</f>
        <v>159778.125</v>
      </c>
      <c r="J245" s="0" t="n">
        <f aca="false">Assumptions!$B$9*J236+(1-Assumptions!$B$9)*IF(J230-$Q$229&gt;=1,INDEX($C236:$N236,J230-$Q$229),0)</f>
        <v>192375</v>
      </c>
      <c r="K245" s="0" t="n">
        <f aca="false">Assumptions!$B$9*K236+(1-Assumptions!$B$9)*IF(K230-$Q$229&gt;=1,INDEX($C236:$N236,K230-$Q$229),0)</f>
        <v>227376.5625</v>
      </c>
      <c r="L245" s="0" t="n">
        <f aca="false">Assumptions!$B$9*L236+(1-Assumptions!$B$9)*IF(L230-$Q$229&gt;=1,INDEX($C236:$N236,L230-$Q$229),0)</f>
        <v>251423.4375</v>
      </c>
      <c r="M245" s="0" t="n">
        <f aca="false">Assumptions!$B$9*M236+(1-Assumptions!$B$9)*IF(M230-$Q$229&gt;=1,INDEX($C236:$N236,M230-$Q$229),0)</f>
        <v>288829.6875</v>
      </c>
      <c r="N245" s="0" t="n">
        <f aca="false">Assumptions!$B$9*N236+(1-Assumptions!$B$9)*IF(N230-$Q$229&gt;=1,INDEX($C236:$N236,N230-$Q$229),0)</f>
        <v>328640.625</v>
      </c>
      <c r="O245" s="0" t="n">
        <f aca="false">SUM(C245:N245)</f>
        <v>1812065.625</v>
      </c>
    </row>
    <row r="246" customFormat="false" ht="15" hidden="false" customHeight="false" outlineLevel="0" collapsed="false">
      <c r="A246" s="0" t="s">
        <v>230</v>
      </c>
      <c r="C246" s="0" t="n">
        <f aca="false">C237+C238+C240+C241+C243</f>
        <v>32500</v>
      </c>
      <c r="D246" s="0" t="n">
        <f aca="false">D237+D238+D240+D241+D243</f>
        <v>56755.54325</v>
      </c>
      <c r="E246" s="0" t="n">
        <f aca="false">E237+E238+E240+E241+E243</f>
        <v>85377.084285</v>
      </c>
      <c r="F246" s="0" t="n">
        <f aca="false">F237+F238+F240+F241+F243</f>
        <v>118364.623105</v>
      </c>
      <c r="G246" s="0" t="n">
        <f aca="false">G237+G238+G240+G241+G243</f>
        <v>131462.61646</v>
      </c>
      <c r="H246" s="0" t="n">
        <f aca="false">H237+H238+H240+H241+H243</f>
        <v>168816.153065</v>
      </c>
      <c r="I246" s="0" t="n">
        <f aca="false">I237+I238+I240+I241+I243</f>
        <v>201280.144205</v>
      </c>
      <c r="J246" s="0" t="n">
        <f aca="false">J237+J238+J240+J241+J243</f>
        <v>242999.678595</v>
      </c>
      <c r="K246" s="0" t="n">
        <f aca="false">K237+K238+K240+K241+K243</f>
        <v>264829.66752</v>
      </c>
      <c r="L246" s="0" t="n">
        <f aca="false">L237+L238+L240+L241+L243</f>
        <v>286659.656445</v>
      </c>
      <c r="M246" s="0" t="n">
        <f aca="false">M237+M238+M240+M241+M243</f>
        <v>332745.18862</v>
      </c>
      <c r="N246" s="0" t="n">
        <f aca="false">N237+N238+N240+N241+N243</f>
        <v>358941.17533</v>
      </c>
      <c r="O246" s="0" t="n">
        <f aca="false">SUM(C246:N246)</f>
        <v>2280731.53088</v>
      </c>
    </row>
    <row r="247" customFormat="false" ht="15" hidden="false" customHeight="false" outlineLevel="0" collapsed="false">
      <c r="A247" s="0" t="s">
        <v>231</v>
      </c>
      <c r="C247" s="0" t="n">
        <f aca="false">C245-C246</f>
        <v>-32500</v>
      </c>
      <c r="D247" s="0" t="n">
        <f aca="false">D245-D246</f>
        <v>-43396.16825</v>
      </c>
      <c r="E247" s="0" t="n">
        <f aca="false">E245-E246</f>
        <v>-42894.271785</v>
      </c>
      <c r="F247" s="0" t="n">
        <f aca="false">F245-F246</f>
        <v>-41948.998105</v>
      </c>
      <c r="G247" s="0" t="n">
        <f aca="false">G245-G246</f>
        <v>-29664.17896</v>
      </c>
      <c r="H247" s="0" t="n">
        <f aca="false">H245-H246</f>
        <v>-39230.215565</v>
      </c>
      <c r="I247" s="0" t="n">
        <f aca="false">I245-I246</f>
        <v>-41502.019205</v>
      </c>
      <c r="J247" s="0" t="n">
        <f aca="false">J245-J246</f>
        <v>-50624.678595</v>
      </c>
      <c r="K247" s="0" t="n">
        <f aca="false">K245-K246</f>
        <v>-37453.10502</v>
      </c>
      <c r="L247" s="0" t="n">
        <f aca="false">L245-L246</f>
        <v>-35236.218945</v>
      </c>
      <c r="M247" s="0" t="n">
        <f aca="false">M245-M246</f>
        <v>-43915.50112</v>
      </c>
      <c r="N247" s="0" t="n">
        <f aca="false">N245-N246</f>
        <v>-30300.55033</v>
      </c>
      <c r="O247" s="0" t="n">
        <f aca="false">SUM(C247:N247)</f>
        <v>-468665.90588</v>
      </c>
    </row>
    <row r="248" customFormat="false" ht="15" hidden="false" customHeight="false" outlineLevel="0" collapsed="false">
      <c r="A248" s="0" t="s">
        <v>232</v>
      </c>
      <c r="C248" s="0" t="n">
        <f aca="false">Capital_Allocation!$C$20+C247</f>
        <v>202500</v>
      </c>
      <c r="D248" s="0" t="n">
        <f aca="false">C248+D247</f>
        <v>159103.83175</v>
      </c>
      <c r="E248" s="0" t="n">
        <f aca="false">D248+E247</f>
        <v>116209.559965</v>
      </c>
      <c r="F248" s="0" t="n">
        <f aca="false">E248+F247</f>
        <v>74260.56186</v>
      </c>
      <c r="G248" s="0" t="n">
        <f aca="false">F248+G247</f>
        <v>44596.3829</v>
      </c>
      <c r="H248" s="0" t="n">
        <f aca="false">G248+H247</f>
        <v>5366.16733500004</v>
      </c>
      <c r="I248" s="0" t="n">
        <f aca="false">H248+I247</f>
        <v>-36135.85187</v>
      </c>
      <c r="J248" s="0" t="n">
        <f aca="false">I248+J247</f>
        <v>-86760.530465</v>
      </c>
      <c r="K248" s="0" t="n">
        <f aca="false">J248+K247</f>
        <v>-124213.635485</v>
      </c>
      <c r="L248" s="0" t="n">
        <f aca="false">K248+L247</f>
        <v>-159449.85443</v>
      </c>
      <c r="M248" s="0" t="n">
        <f aca="false">L248+M247</f>
        <v>-203365.35555</v>
      </c>
      <c r="N248" s="0" t="n">
        <f aca="false">M248+N247</f>
        <v>-233665.90588</v>
      </c>
    </row>
    <row r="249" customFormat="false" ht="15" hidden="false" customHeight="false" outlineLevel="0" collapsed="false">
      <c r="A249" s="0" t="s">
        <v>233</v>
      </c>
      <c r="C249" s="0" t="n">
        <f aca="false">SUM($C236:C236)-SUM($C245:C245)</f>
        <v>0</v>
      </c>
      <c r="D249" s="0" t="n">
        <f aca="false">SUM($C236:D236)-SUM($C245:D245)</f>
        <v>13359.375</v>
      </c>
      <c r="E249" s="0" t="n">
        <f aca="false">SUM($C236:E236)-SUM($C245:E245)</f>
        <v>29123.4375</v>
      </c>
      <c r="F249" s="0" t="n">
        <f aca="false">SUM($C236:F236)-SUM($C245:F245)</f>
        <v>47292.1875</v>
      </c>
      <c r="G249" s="0" t="n">
        <f aca="false">SUM($C236:G236)-SUM($C245:G245)</f>
        <v>54506.25</v>
      </c>
      <c r="H249" s="0" t="n">
        <f aca="false">SUM($C236:H236)-SUM($C245:H245)</f>
        <v>75079.6875</v>
      </c>
      <c r="I249" s="0" t="n">
        <f aca="false">SUM($C236:I236)-SUM($C245:I245)</f>
        <v>84698.4375</v>
      </c>
      <c r="J249" s="0" t="n">
        <f aca="false">SUM($C236:J236)-SUM($C245:J245)</f>
        <v>107676.5625</v>
      </c>
      <c r="K249" s="0" t="n">
        <f aca="false">SUM($C236:K236)-SUM($C245:K245)</f>
        <v>119700</v>
      </c>
      <c r="L249" s="0" t="n">
        <f aca="false">SUM($C236:L236)-SUM($C245:L245)</f>
        <v>131723.4375</v>
      </c>
      <c r="M249" s="0" t="n">
        <f aca="false">SUM($C236:M236)-SUM($C245:M245)</f>
        <v>157106.25</v>
      </c>
      <c r="N249" s="0" t="n">
        <f aca="false">SUM($C236:N236)-SUM($C245:N245)</f>
        <v>171534.375</v>
      </c>
    </row>
    <row r="250" customFormat="false" ht="15" hidden="false" customHeight="false" outlineLevel="0" collapsed="false">
      <c r="A250" s="0" t="s">
        <v>234</v>
      </c>
      <c r="C250" s="0" t="n">
        <f aca="false">SUM($C244:C244)</f>
        <v>-32500</v>
      </c>
      <c r="D250" s="0" t="n">
        <f aca="false">SUM($C244:D244)</f>
        <v>-62536.79325</v>
      </c>
      <c r="E250" s="0" t="n">
        <f aca="false">SUM($C244:E244)</f>
        <v>-89667.002535</v>
      </c>
      <c r="F250" s="0" t="n">
        <f aca="false">SUM($C244:F244)</f>
        <v>-113447.25064</v>
      </c>
      <c r="G250" s="0" t="n">
        <f aca="false">SUM($C244:G244)</f>
        <v>-135897.3671</v>
      </c>
      <c r="H250" s="0" t="n">
        <f aca="false">SUM($C244:H244)</f>
        <v>-154554.145165</v>
      </c>
      <c r="I250" s="0" t="n">
        <f aca="false">SUM($C244:I244)</f>
        <v>-186437.41437</v>
      </c>
      <c r="J250" s="0" t="n">
        <f aca="false">SUM($C244:J244)</f>
        <v>-214083.967965</v>
      </c>
      <c r="K250" s="0" t="n">
        <f aca="false">SUM($C244:K244)</f>
        <v>-239513.635485</v>
      </c>
      <c r="L250" s="0" t="n">
        <f aca="false">SUM($C244:L244)</f>
        <v>-262726.41693</v>
      </c>
      <c r="M250" s="0" t="n">
        <f aca="false">SUM($C244:M244)</f>
        <v>-281259.10555</v>
      </c>
      <c r="N250" s="0" t="n">
        <f aca="false">SUM($C244:N244)</f>
        <v>-297131.53088</v>
      </c>
    </row>
    <row r="251" customFormat="false" ht="15" hidden="false" customHeight="false" outlineLevel="0" collapsed="false">
      <c r="A251" s="0" t="s">
        <v>235</v>
      </c>
      <c r="C251" s="0" t="n">
        <f aca="false">IF(C244&gt;=0,C230,99)</f>
        <v>99</v>
      </c>
      <c r="D251" s="0" t="n">
        <f aca="false">IF(D244&gt;=0,D230,99)</f>
        <v>99</v>
      </c>
      <c r="E251" s="0" t="n">
        <f aca="false">IF(E244&gt;=0,E230,99)</f>
        <v>99</v>
      </c>
      <c r="F251" s="0" t="n">
        <f aca="false">IF(F244&gt;=0,F230,99)</f>
        <v>99</v>
      </c>
      <c r="G251" s="0" t="n">
        <f aca="false">IF(G244&gt;=0,G230,99)</f>
        <v>99</v>
      </c>
      <c r="H251" s="0" t="n">
        <f aca="false">IF(H244&gt;=0,H230,99)</f>
        <v>99</v>
      </c>
      <c r="I251" s="0" t="n">
        <f aca="false">IF(I244&gt;=0,I230,99)</f>
        <v>99</v>
      </c>
      <c r="J251" s="0" t="n">
        <f aca="false">IF(J244&gt;=0,J230,99)</f>
        <v>99</v>
      </c>
      <c r="K251" s="0" t="n">
        <f aca="false">IF(K244&gt;=0,K230,99)</f>
        <v>99</v>
      </c>
      <c r="L251" s="0" t="n">
        <f aca="false">IF(L244&gt;=0,L230,99)</f>
        <v>99</v>
      </c>
      <c r="M251" s="0" t="n">
        <f aca="false">IF(M244&gt;=0,M230,99)</f>
        <v>99</v>
      </c>
      <c r="N251" s="0" t="n">
        <f aca="false">IF(N244&gt;=0,N230,99)</f>
        <v>99</v>
      </c>
    </row>
    <row r="252" customFormat="false" ht="15" hidden="false" customHeight="false" outlineLevel="0" collapsed="false">
      <c r="A252" s="0" t="s">
        <v>236</v>
      </c>
      <c r="C252" s="0" t="n">
        <f aca="false">IF(C242&gt;=0,C230,99)</f>
        <v>99</v>
      </c>
      <c r="D252" s="0" t="n">
        <f aca="false">IF(D242&gt;=0,D230,99)</f>
        <v>99</v>
      </c>
      <c r="E252" s="0" t="n">
        <f aca="false">IF(E242&gt;=0,E230,99)</f>
        <v>99</v>
      </c>
      <c r="F252" s="0" t="n">
        <f aca="false">IF(F242&gt;=0,F230,99)</f>
        <v>99</v>
      </c>
      <c r="G252" s="0" t="n">
        <f aca="false">IF(G242&gt;=0,G230,99)</f>
        <v>99</v>
      </c>
      <c r="H252" s="0" t="n">
        <f aca="false">IF(H242&gt;=0,H230,99)</f>
        <v>99</v>
      </c>
      <c r="I252" s="0" t="n">
        <f aca="false">IF(I242&gt;=0,I230,99)</f>
        <v>99</v>
      </c>
      <c r="J252" s="0" t="n">
        <f aca="false">IF(J242&gt;=0,J230,99)</f>
        <v>99</v>
      </c>
      <c r="K252" s="0" t="n">
        <f aca="false">IF(K242&gt;=0,K230,99)</f>
        <v>99</v>
      </c>
      <c r="L252" s="0" t="n">
        <f aca="false">IF(L242&gt;=0,L230,99)</f>
        <v>99</v>
      </c>
      <c r="M252" s="0" t="n">
        <f aca="false">IF(M242&gt;=0,M230,99)</f>
        <v>99</v>
      </c>
      <c r="N252" s="0" t="n">
        <f aca="false">IF(N242&gt;=0,N230,99)</f>
        <v>99</v>
      </c>
    </row>
    <row r="253" customFormat="false" ht="15" hidden="false" customHeight="false" outlineLevel="0" collapsed="false">
      <c r="A253" s="5" t="s">
        <v>237</v>
      </c>
      <c r="B253" s="3" t="n">
        <f aca="false">O236</f>
        <v>1983600</v>
      </c>
    </row>
    <row r="254" customFormat="false" ht="15" hidden="false" customHeight="false" outlineLevel="0" collapsed="false">
      <c r="A254" s="5" t="s">
        <v>238</v>
      </c>
      <c r="B254" s="3" t="n">
        <f aca="false">O239</f>
        <v>182868.46912</v>
      </c>
    </row>
    <row r="255" customFormat="false" ht="15" hidden="false" customHeight="false" outlineLevel="0" collapsed="false">
      <c r="A255" s="5" t="s">
        <v>239</v>
      </c>
      <c r="B255" s="3" t="n">
        <f aca="false">O244</f>
        <v>-297131.53088</v>
      </c>
    </row>
    <row r="256" customFormat="false" ht="15" hidden="false" customHeight="false" outlineLevel="0" collapsed="false">
      <c r="A256" s="5" t="s">
        <v>240</v>
      </c>
      <c r="B256" s="3" t="n">
        <f aca="false">MIN(C248:N248)</f>
        <v>-233665.90588</v>
      </c>
    </row>
    <row r="257" customFormat="false" ht="15" hidden="false" customHeight="false" outlineLevel="0" collapsed="false">
      <c r="A257" s="5" t="s">
        <v>241</v>
      </c>
      <c r="B257" s="3" t="n">
        <f aca="false">N248</f>
        <v>-233665.90588</v>
      </c>
    </row>
    <row r="258" customFormat="false" ht="15" hidden="false" customHeight="false" outlineLevel="0" collapsed="false">
      <c r="A258" s="5" t="s">
        <v>242</v>
      </c>
      <c r="B258" s="0" t="str">
        <f aca="false">IF(B256&gt;=0,"YES","NO")</f>
        <v>NO</v>
      </c>
    </row>
    <row r="259" customFormat="false" ht="15" hidden="false" customHeight="false" outlineLevel="0" collapsed="false">
      <c r="A259" s="5" t="s">
        <v>243</v>
      </c>
      <c r="B259" s="0" t="str">
        <f aca="false">IF(B256&gt;=Capital_Allocation!$C$16,"YES","NO")</f>
        <v>NO</v>
      </c>
    </row>
    <row r="260" customFormat="false" ht="15" hidden="false" customHeight="false" outlineLevel="0" collapsed="false">
      <c r="A260" s="5" t="s">
        <v>244</v>
      </c>
      <c r="B260" s="0" t="str">
        <f aca="false">IF(MIN(C252:N252)=99,"none in 12 mo",MIN(C252:N252))</f>
        <v>none in 12 mo</v>
      </c>
    </row>
    <row r="261" customFormat="false" ht="15" hidden="false" customHeight="false" outlineLevel="0" collapsed="false">
      <c r="A261" s="5" t="s">
        <v>245</v>
      </c>
      <c r="B261" s="3" t="n">
        <f aca="false">N244</f>
        <v>-15872.42533</v>
      </c>
    </row>
    <row r="262" customFormat="false" ht="15" hidden="false" customHeight="false" outlineLevel="0" collapsed="false">
      <c r="A262" s="5" t="s">
        <v>246</v>
      </c>
      <c r="B262" s="3" t="n">
        <f aca="false">N249</f>
        <v>171534.375</v>
      </c>
    </row>
    <row r="263" customFormat="false" ht="15" hidden="false" customHeight="false" outlineLevel="0" collapsed="false">
      <c r="A263" s="5" t="s">
        <v>247</v>
      </c>
      <c r="B263" s="0" t="str">
        <f aca="false">IF(MIN(C251:N251)=99,"none in 12 mo",MIN(C251:N251))</f>
        <v>none in 12 mo</v>
      </c>
    </row>
    <row r="267" customFormat="false" ht="15" hidden="false" customHeight="false" outlineLevel="0" collapsed="false">
      <c r="A267" s="5" t="s">
        <v>254</v>
      </c>
      <c r="P267" s="3" t="s">
        <v>214</v>
      </c>
      <c r="Q267" s="3" t="n">
        <f aca="false">MAX(1,ROUNDUP((Assumptions!$B$10+Scenario_Inputs!$F$31)/30,0))</f>
        <v>2</v>
      </c>
    </row>
    <row r="268" customFormat="false" ht="15" hidden="false" customHeight="false" outlineLevel="0" collapsed="false">
      <c r="A268" s="0" t="s">
        <v>66</v>
      </c>
      <c r="C268" s="0" t="n">
        <v>1</v>
      </c>
      <c r="D268" s="0" t="n">
        <v>2</v>
      </c>
      <c r="E268" s="0" t="n">
        <v>3</v>
      </c>
      <c r="F268" s="0" t="n">
        <v>4</v>
      </c>
      <c r="G268" s="0" t="n">
        <v>5</v>
      </c>
      <c r="H268" s="0" t="n">
        <v>6</v>
      </c>
      <c r="I268" s="0" t="n">
        <v>7</v>
      </c>
      <c r="J268" s="0" t="n">
        <v>8</v>
      </c>
      <c r="K268" s="0" t="n">
        <v>9</v>
      </c>
      <c r="L268" s="0" t="n">
        <v>10</v>
      </c>
      <c r="M268" s="0" t="n">
        <v>11</v>
      </c>
      <c r="N268" s="0" t="n">
        <v>12</v>
      </c>
      <c r="O268" s="5" t="s">
        <v>215</v>
      </c>
    </row>
    <row r="269" customFormat="false" ht="15" hidden="false" customHeight="false" outlineLevel="0" collapsed="false">
      <c r="A269" s="0" t="s">
        <v>216</v>
      </c>
      <c r="C269" s="0" t="n">
        <f aca="false">Assumptions!B$33*Scenario_Inputs!$D$31</f>
        <v>0</v>
      </c>
      <c r="D269" s="0" t="n">
        <f aca="false">Assumptions!C$33*Scenario_Inputs!$D$31</f>
        <v>1</v>
      </c>
      <c r="E269" s="0" t="n">
        <f aca="false">Assumptions!D$33*Scenario_Inputs!$D$31</f>
        <v>2</v>
      </c>
      <c r="F269" s="0" t="n">
        <f aca="false">Assumptions!E$33*Scenario_Inputs!$D$31</f>
        <v>3</v>
      </c>
      <c r="G269" s="0" t="n">
        <f aca="false">Assumptions!F$33*Scenario_Inputs!$D$31</f>
        <v>3</v>
      </c>
      <c r="H269" s="0" t="n">
        <f aca="false">Assumptions!G$33*Scenario_Inputs!$D$31</f>
        <v>4</v>
      </c>
      <c r="I269" s="0" t="n">
        <f aca="false">Assumptions!H$33*Scenario_Inputs!$D$31</f>
        <v>4</v>
      </c>
      <c r="J269" s="0" t="n">
        <f aca="false">Assumptions!I$33*Scenario_Inputs!$D$31</f>
        <v>5</v>
      </c>
      <c r="K269" s="0" t="n">
        <f aca="false">Assumptions!J$33*Scenario_Inputs!$D$31</f>
        <v>5</v>
      </c>
      <c r="L269" s="0" t="n">
        <f aca="false">Assumptions!K$33*Scenario_Inputs!$D$31</f>
        <v>5</v>
      </c>
      <c r="M269" s="0" t="n">
        <f aca="false">Assumptions!L$33*Scenario_Inputs!$D$31</f>
        <v>6</v>
      </c>
      <c r="N269" s="0" t="n">
        <f aca="false">Assumptions!M$33*Scenario_Inputs!$D$31</f>
        <v>6</v>
      </c>
      <c r="O269" s="0" t="n">
        <f aca="false">SUM(C269:N269)</f>
        <v>44</v>
      </c>
    </row>
    <row r="270" customFormat="false" ht="15" hidden="false" customHeight="false" outlineLevel="0" collapsed="false">
      <c r="A270" s="0" t="s">
        <v>217</v>
      </c>
      <c r="C270" s="0" t="n">
        <v>0</v>
      </c>
      <c r="D270" s="0" t="n">
        <f aca="false">SUM($C269:C269)</f>
        <v>0</v>
      </c>
      <c r="E270" s="0" t="n">
        <f aca="false">SUM($C269:D269)</f>
        <v>1</v>
      </c>
      <c r="F270" s="0" t="n">
        <f aca="false">SUM($C269:E269)</f>
        <v>3</v>
      </c>
      <c r="G270" s="0" t="n">
        <f aca="false">SUM($C269:F269)</f>
        <v>6</v>
      </c>
      <c r="H270" s="0" t="n">
        <f aca="false">SUM($C269:G269)</f>
        <v>9</v>
      </c>
      <c r="I270" s="0" t="n">
        <f aca="false">SUM($C269:H269)</f>
        <v>13</v>
      </c>
      <c r="J270" s="0" t="n">
        <f aca="false">SUM($C269:I269)</f>
        <v>17</v>
      </c>
      <c r="K270" s="0" t="n">
        <f aca="false">SUM($C269:J269)</f>
        <v>22</v>
      </c>
      <c r="L270" s="0" t="n">
        <f aca="false">SUM($C269:K269)</f>
        <v>27</v>
      </c>
      <c r="M270" s="0" t="n">
        <f aca="false">SUM($C269:L269)</f>
        <v>32</v>
      </c>
      <c r="N270" s="0" t="n">
        <f aca="false">SUM($C269:M269)</f>
        <v>38</v>
      </c>
    </row>
    <row r="271" customFormat="false" ht="15" hidden="false" customHeight="false" outlineLevel="0" collapsed="false">
      <c r="A271" s="0" t="s">
        <v>218</v>
      </c>
      <c r="C271" s="0" t="n">
        <f aca="false">C270*Assumptions!$B$11*Scenario_Inputs!$E$31</f>
        <v>0</v>
      </c>
      <c r="D271" s="0" t="n">
        <f aca="false">D270*Assumptions!$B$11*Scenario_Inputs!$E$31</f>
        <v>0</v>
      </c>
      <c r="E271" s="0" t="n">
        <f aca="false">E270*Assumptions!$B$11*Scenario_Inputs!$E$31</f>
        <v>0.18</v>
      </c>
      <c r="F271" s="0" t="n">
        <f aca="false">F270*Assumptions!$B$11*Scenario_Inputs!$E$31</f>
        <v>0.54</v>
      </c>
      <c r="G271" s="0" t="n">
        <f aca="false">G270*Assumptions!$B$11*Scenario_Inputs!$E$31</f>
        <v>1.08</v>
      </c>
      <c r="H271" s="0" t="n">
        <f aca="false">H270*Assumptions!$B$11*Scenario_Inputs!$E$31</f>
        <v>1.62</v>
      </c>
      <c r="I271" s="0" t="n">
        <f aca="false">I270*Assumptions!$B$11*Scenario_Inputs!$E$31</f>
        <v>2.34</v>
      </c>
      <c r="J271" s="0" t="n">
        <f aca="false">J270*Assumptions!$B$11*Scenario_Inputs!$E$31</f>
        <v>3.06</v>
      </c>
      <c r="K271" s="0" t="n">
        <f aca="false">K270*Assumptions!$B$11*Scenario_Inputs!$E$31</f>
        <v>3.96</v>
      </c>
      <c r="L271" s="0" t="n">
        <f aca="false">L270*Assumptions!$B$11*Scenario_Inputs!$E$31</f>
        <v>4.86</v>
      </c>
      <c r="M271" s="0" t="n">
        <f aca="false">M270*Assumptions!$B$11*Scenario_Inputs!$E$31</f>
        <v>5.76</v>
      </c>
      <c r="N271" s="0" t="n">
        <f aca="false">N270*Assumptions!$B$11*Scenario_Inputs!$E$31</f>
        <v>6.84</v>
      </c>
      <c r="O271" s="0" t="n">
        <f aca="false">SUM(C271:N271)</f>
        <v>30.24</v>
      </c>
    </row>
    <row r="272" customFormat="false" ht="15" hidden="false" customHeight="false" outlineLevel="0" collapsed="false">
      <c r="A272" s="0" t="s">
        <v>219</v>
      </c>
      <c r="C272" s="0" t="n">
        <f aca="false">C269+C271</f>
        <v>0</v>
      </c>
      <c r="D272" s="0" t="n">
        <f aca="false">D269+D271</f>
        <v>1</v>
      </c>
      <c r="E272" s="0" t="n">
        <f aca="false">E269+E271</f>
        <v>2.18</v>
      </c>
      <c r="F272" s="0" t="n">
        <f aca="false">F269+F271</f>
        <v>3.54</v>
      </c>
      <c r="G272" s="0" t="n">
        <f aca="false">G269+G271</f>
        <v>4.08</v>
      </c>
      <c r="H272" s="0" t="n">
        <f aca="false">H269+H271</f>
        <v>5.62</v>
      </c>
      <c r="I272" s="0" t="n">
        <f aca="false">I269+I271</f>
        <v>6.34</v>
      </c>
      <c r="J272" s="0" t="n">
        <f aca="false">J269+J271</f>
        <v>8.06</v>
      </c>
      <c r="K272" s="0" t="n">
        <f aca="false">K269+K271</f>
        <v>8.96</v>
      </c>
      <c r="L272" s="0" t="n">
        <f aca="false">L269+L271</f>
        <v>9.86</v>
      </c>
      <c r="M272" s="0" t="n">
        <f aca="false">M269+M271</f>
        <v>11.76</v>
      </c>
      <c r="N272" s="0" t="n">
        <f aca="false">N269+N271</f>
        <v>12.84</v>
      </c>
      <c r="O272" s="0" t="n">
        <f aca="false">SUM(C272:N272)</f>
        <v>74.24</v>
      </c>
    </row>
    <row r="273" customFormat="false" ht="15" hidden="false" customHeight="false" outlineLevel="0" collapsed="false">
      <c r="A273" s="0" t="s">
        <v>220</v>
      </c>
      <c r="C273" s="0" t="n">
        <f aca="false">C272*Assumptions!$B$5*Scenario_Inputs!G$32</f>
        <v>0</v>
      </c>
      <c r="D273" s="0" t="n">
        <f aca="false">D272*Assumptions!$B$5*Scenario_Inputs!H$32</f>
        <v>26718.75</v>
      </c>
      <c r="E273" s="0" t="n">
        <f aca="false">E272*Assumptions!$B$5*Scenario_Inputs!I$32</f>
        <v>58246.875</v>
      </c>
      <c r="F273" s="0" t="n">
        <f aca="false">F272*Assumptions!$B$5*Scenario_Inputs!J$32</f>
        <v>94584.375</v>
      </c>
      <c r="G273" s="0" t="n">
        <f aca="false">G272*Assumptions!$B$5*Scenario_Inputs!K$32</f>
        <v>109012.5</v>
      </c>
      <c r="H273" s="0" t="n">
        <f aca="false">H272*Assumptions!$B$5*Scenario_Inputs!L$32</f>
        <v>150159.375</v>
      </c>
      <c r="I273" s="0" t="n">
        <f aca="false">I272*Assumptions!$B$5*Scenario_Inputs!M$32</f>
        <v>169396.875</v>
      </c>
      <c r="J273" s="0" t="n">
        <f aca="false">J272*Assumptions!$B$5*Scenario_Inputs!N$32</f>
        <v>215353.125</v>
      </c>
      <c r="K273" s="0" t="n">
        <f aca="false">K272*Assumptions!$B$5*Scenario_Inputs!O$32</f>
        <v>239400</v>
      </c>
      <c r="L273" s="0" t="n">
        <f aca="false">L272*Assumptions!$B$5*Scenario_Inputs!P$32</f>
        <v>263446.875</v>
      </c>
      <c r="M273" s="0" t="n">
        <f aca="false">M272*Assumptions!$B$5*Scenario_Inputs!Q$32</f>
        <v>314212.5</v>
      </c>
      <c r="N273" s="0" t="n">
        <f aca="false">N272*Assumptions!$B$5*Scenario_Inputs!R$32</f>
        <v>343068.75</v>
      </c>
      <c r="O273" s="0" t="n">
        <f aca="false">SUM(C273:N273)</f>
        <v>1983600</v>
      </c>
    </row>
    <row r="274" customFormat="false" ht="15" hidden="false" customHeight="false" outlineLevel="0" collapsed="false">
      <c r="A274" s="0" t="s">
        <v>221</v>
      </c>
      <c r="C274" s="0" t="n">
        <f aca="false">C273*Scenario_Inputs!$B$31</f>
        <v>0</v>
      </c>
      <c r="D274" s="0" t="n">
        <f aca="false">D273*Scenario_Inputs!$B$31</f>
        <v>26718.75</v>
      </c>
      <c r="E274" s="0" t="n">
        <f aca="false">E273*Scenario_Inputs!$B$31</f>
        <v>58246.875</v>
      </c>
      <c r="F274" s="0" t="n">
        <f aca="false">F273*Scenario_Inputs!$B$31</f>
        <v>94584.375</v>
      </c>
      <c r="G274" s="0" t="n">
        <f aca="false">G273*Scenario_Inputs!$B$31</f>
        <v>109012.5</v>
      </c>
      <c r="H274" s="0" t="n">
        <f aca="false">H273*Scenario_Inputs!$B$31</f>
        <v>150159.375</v>
      </c>
      <c r="I274" s="0" t="n">
        <f aca="false">I273*Scenario_Inputs!$B$31</f>
        <v>169396.875</v>
      </c>
      <c r="J274" s="0" t="n">
        <f aca="false">J273*Scenario_Inputs!$B$31</f>
        <v>215353.125</v>
      </c>
      <c r="K274" s="0" t="n">
        <f aca="false">K273*Scenario_Inputs!$B$31</f>
        <v>239400</v>
      </c>
      <c r="L274" s="0" t="n">
        <f aca="false">L273*Scenario_Inputs!$B$31</f>
        <v>263446.875</v>
      </c>
      <c r="M274" s="0" t="n">
        <f aca="false">M273*Scenario_Inputs!$B$31</f>
        <v>314212.5</v>
      </c>
      <c r="N274" s="0" t="n">
        <f aca="false">N273*Scenario_Inputs!$B$31</f>
        <v>343068.75</v>
      </c>
      <c r="O274" s="0" t="n">
        <f aca="false">SUM(C274:N274)</f>
        <v>1983600</v>
      </c>
    </row>
    <row r="275" customFormat="false" ht="15" hidden="false" customHeight="false" outlineLevel="0" collapsed="false">
      <c r="A275" s="0" t="s">
        <v>222</v>
      </c>
      <c r="C275" s="0" t="n">
        <f aca="false">C273*(1-Assumptions!$B$6)*Scenario_Inputs!$C$31*(1+(1-Assumptions!$B$26)*Assumptions!$B$21*Assumptions!$B$27)</f>
        <v>0</v>
      </c>
      <c r="D275" s="0" t="n">
        <f aca="false">D273*(1-Assumptions!$B$6)*Scenario_Inputs!$C$31*(1+(1-Assumptions!$B$26)*Assumptions!$B$21*Assumptions!$B$27)</f>
        <v>19697.755</v>
      </c>
      <c r="E275" s="0" t="n">
        <f aca="false">E273*(1-Assumptions!$B$6)*Scenario_Inputs!$C$31*(1+(1-Assumptions!$B$26)*Assumptions!$B$21*Assumptions!$B$27)</f>
        <v>42941.1059</v>
      </c>
      <c r="F275" s="0" t="n">
        <f aca="false">F273*(1-Assumptions!$B$6)*Scenario_Inputs!$C$31*(1+(1-Assumptions!$B$26)*Assumptions!$B$21*Assumptions!$B$27)</f>
        <v>69730.0527</v>
      </c>
      <c r="G275" s="0" t="n">
        <f aca="false">G273*(1-Assumptions!$B$6)*Scenario_Inputs!$C$31*(1+(1-Assumptions!$B$26)*Assumptions!$B$21*Assumptions!$B$27)</f>
        <v>80366.8404</v>
      </c>
      <c r="H275" s="0" t="n">
        <f aca="false">H273*(1-Assumptions!$B$6)*Scenario_Inputs!$C$31*(1+(1-Assumptions!$B$26)*Assumptions!$B$21*Assumptions!$B$27)</f>
        <v>110701.3831</v>
      </c>
      <c r="I275" s="0" t="n">
        <f aca="false">I273*(1-Assumptions!$B$6)*Scenario_Inputs!$C$31*(1+(1-Assumptions!$B$26)*Assumptions!$B$21*Assumptions!$B$27)</f>
        <v>124883.7667</v>
      </c>
      <c r="J275" s="0" t="n">
        <f aca="false">J273*(1-Assumptions!$B$6)*Scenario_Inputs!$C$31*(1+(1-Assumptions!$B$26)*Assumptions!$B$21*Assumptions!$B$27)</f>
        <v>158763.9053</v>
      </c>
      <c r="K275" s="0" t="n">
        <f aca="false">K273*(1-Assumptions!$B$6)*Scenario_Inputs!$C$31*(1+(1-Assumptions!$B$26)*Assumptions!$B$21*Assumptions!$B$27)</f>
        <v>176491.8848</v>
      </c>
      <c r="L275" s="0" t="n">
        <f aca="false">L273*(1-Assumptions!$B$6)*Scenario_Inputs!$C$31*(1+(1-Assumptions!$B$26)*Assumptions!$B$21*Assumptions!$B$27)</f>
        <v>194219.8643</v>
      </c>
      <c r="M275" s="0" t="n">
        <f aca="false">M273*(1-Assumptions!$B$6)*Scenario_Inputs!$C$31*(1+(1-Assumptions!$B$26)*Assumptions!$B$21*Assumptions!$B$27)</f>
        <v>231645.5988</v>
      </c>
      <c r="N275" s="0" t="n">
        <f aca="false">N273*(1-Assumptions!$B$6)*Scenario_Inputs!$C$31*(1+(1-Assumptions!$B$26)*Assumptions!$B$21*Assumptions!$B$27)</f>
        <v>252919.1742</v>
      </c>
      <c r="O275" s="0" t="n">
        <f aca="false">SUM(C275:N275)</f>
        <v>1462361.3312</v>
      </c>
    </row>
    <row r="276" customFormat="false" ht="15" hidden="false" customHeight="false" outlineLevel="0" collapsed="false">
      <c r="A276" s="0" t="s">
        <v>223</v>
      </c>
      <c r="C276" s="0" t="n">
        <f aca="false">C274*(Assumptions!$B$7+Assumptions!$B$8)</f>
        <v>0</v>
      </c>
      <c r="D276" s="0" t="n">
        <f aca="false">D274*(Assumptions!$B$7+Assumptions!$B$8)</f>
        <v>1603.125</v>
      </c>
      <c r="E276" s="0" t="n">
        <f aca="false">E274*(Assumptions!$B$7+Assumptions!$B$8)</f>
        <v>3494.8125</v>
      </c>
      <c r="F276" s="0" t="n">
        <f aca="false">F274*(Assumptions!$B$7+Assumptions!$B$8)</f>
        <v>5675.0625</v>
      </c>
      <c r="G276" s="0" t="n">
        <f aca="false">G274*(Assumptions!$B$7+Assumptions!$B$8)</f>
        <v>6540.75</v>
      </c>
      <c r="H276" s="0" t="n">
        <f aca="false">H274*(Assumptions!$B$7+Assumptions!$B$8)</f>
        <v>9009.5625</v>
      </c>
      <c r="I276" s="0" t="n">
        <f aca="false">I274*(Assumptions!$B$7+Assumptions!$B$8)</f>
        <v>10163.8125</v>
      </c>
      <c r="J276" s="0" t="n">
        <f aca="false">J274*(Assumptions!$B$7+Assumptions!$B$8)</f>
        <v>12921.1875</v>
      </c>
      <c r="K276" s="0" t="n">
        <f aca="false">K274*(Assumptions!$B$7+Assumptions!$B$8)</f>
        <v>14364</v>
      </c>
      <c r="L276" s="0" t="n">
        <f aca="false">L274*(Assumptions!$B$7+Assumptions!$B$8)</f>
        <v>15806.8125</v>
      </c>
      <c r="M276" s="0" t="n">
        <f aca="false">M274*(Assumptions!$B$7+Assumptions!$B$8)</f>
        <v>18852.75</v>
      </c>
      <c r="N276" s="0" t="n">
        <f aca="false">N274*(Assumptions!$B$7+Assumptions!$B$8)</f>
        <v>20584.125</v>
      </c>
      <c r="O276" s="0" t="n">
        <f aca="false">SUM(C276:N276)</f>
        <v>119016</v>
      </c>
    </row>
    <row r="277" customFormat="false" ht="15" hidden="false" customHeight="false" outlineLevel="0" collapsed="false">
      <c r="A277" s="0" t="s">
        <v>198</v>
      </c>
      <c r="C277" s="0" t="n">
        <f aca="false">C274-C275-C276</f>
        <v>0</v>
      </c>
      <c r="D277" s="0" t="n">
        <f aca="false">D274-D275-D276</f>
        <v>5417.87</v>
      </c>
      <c r="E277" s="0" t="n">
        <f aca="false">E274-E275-E276</f>
        <v>11810.9566</v>
      </c>
      <c r="F277" s="0" t="n">
        <f aca="false">F274-F275-F276</f>
        <v>19179.2598</v>
      </c>
      <c r="G277" s="0" t="n">
        <f aca="false">G274-G275-G276</f>
        <v>22104.9096</v>
      </c>
      <c r="H277" s="0" t="n">
        <f aca="false">H274-H275-H276</f>
        <v>30448.4294</v>
      </c>
      <c r="I277" s="0" t="n">
        <f aca="false">I274-I275-I276</f>
        <v>34349.2958</v>
      </c>
      <c r="J277" s="0" t="n">
        <f aca="false">J274-J275-J276</f>
        <v>43668.0322</v>
      </c>
      <c r="K277" s="0" t="n">
        <f aca="false">K274-K275-K276</f>
        <v>48544.1152</v>
      </c>
      <c r="L277" s="0" t="n">
        <f aca="false">L274-L275-L276</f>
        <v>53420.1982</v>
      </c>
      <c r="M277" s="0" t="n">
        <f aca="false">M274-M275-M276</f>
        <v>63714.1512</v>
      </c>
      <c r="N277" s="0" t="n">
        <f aca="false">N274-N275-N276</f>
        <v>69565.4508</v>
      </c>
      <c r="O277" s="0" t="n">
        <f aca="false">SUM(C277:N277)</f>
        <v>402222.6688</v>
      </c>
    </row>
    <row r="278" customFormat="false" ht="15" hidden="false" customHeight="false" outlineLevel="0" collapsed="false">
      <c r="A278" s="0" t="s">
        <v>224</v>
      </c>
      <c r="C278" s="0" t="n">
        <f aca="false">Assumptions!$B$29</f>
        <v>32500</v>
      </c>
      <c r="D278" s="0" t="n">
        <f aca="false">Assumptions!$B$29</f>
        <v>32500</v>
      </c>
      <c r="E278" s="0" t="n">
        <f aca="false">Assumptions!$B$29</f>
        <v>32500</v>
      </c>
      <c r="F278" s="0" t="n">
        <f aca="false">Assumptions!$B$29</f>
        <v>32500</v>
      </c>
      <c r="G278" s="0" t="n">
        <f aca="false">Assumptions!$B$29</f>
        <v>32500</v>
      </c>
      <c r="H278" s="0" t="n">
        <f aca="false">Assumptions!$B$29</f>
        <v>32500</v>
      </c>
      <c r="I278" s="0" t="n">
        <f aca="false">Assumptions!$B$29</f>
        <v>32500</v>
      </c>
      <c r="J278" s="0" t="n">
        <f aca="false">Assumptions!$B$29</f>
        <v>32500</v>
      </c>
      <c r="K278" s="0" t="n">
        <f aca="false">Assumptions!$B$29</f>
        <v>32500</v>
      </c>
      <c r="L278" s="0" t="n">
        <f aca="false">Assumptions!$B$29</f>
        <v>32500</v>
      </c>
      <c r="M278" s="0" t="n">
        <f aca="false">Assumptions!$B$29</f>
        <v>32500</v>
      </c>
      <c r="N278" s="0" t="n">
        <f aca="false">Assumptions!$B$29</f>
        <v>32500</v>
      </c>
      <c r="O278" s="0" t="n">
        <f aca="false">SUM(C278:N278)</f>
        <v>390000</v>
      </c>
    </row>
    <row r="279" customFormat="false" ht="15" hidden="false" customHeight="false" outlineLevel="0" collapsed="false">
      <c r="A279" s="0" t="s">
        <v>225</v>
      </c>
      <c r="C279" s="0" t="n">
        <f aca="false">Scenario_Inputs!G$33</f>
        <v>0</v>
      </c>
      <c r="D279" s="0" t="n">
        <f aca="false">Scenario_Inputs!H$33</f>
        <v>0</v>
      </c>
      <c r="E279" s="0" t="n">
        <f aca="false">Scenario_Inputs!I$33</f>
        <v>0</v>
      </c>
      <c r="F279" s="0" t="n">
        <f aca="false">Scenario_Inputs!J$33</f>
        <v>0</v>
      </c>
      <c r="G279" s="0" t="n">
        <f aca="false">Scenario_Inputs!K$33</f>
        <v>0</v>
      </c>
      <c r="H279" s="0" t="n">
        <f aca="false">Scenario_Inputs!L$33</f>
        <v>0</v>
      </c>
      <c r="I279" s="0" t="n">
        <f aca="false">Scenario_Inputs!M$33</f>
        <v>0</v>
      </c>
      <c r="J279" s="0" t="n">
        <f aca="false">Scenario_Inputs!N$33</f>
        <v>0</v>
      </c>
      <c r="K279" s="0" t="n">
        <f aca="false">Scenario_Inputs!O$33</f>
        <v>0</v>
      </c>
      <c r="L279" s="0" t="n">
        <f aca="false">Scenario_Inputs!P$33</f>
        <v>0</v>
      </c>
      <c r="M279" s="0" t="n">
        <f aca="false">Scenario_Inputs!Q$33</f>
        <v>0</v>
      </c>
      <c r="N279" s="0" t="n">
        <f aca="false">Scenario_Inputs!R$33</f>
        <v>0</v>
      </c>
      <c r="O279" s="0" t="n">
        <f aca="false">SUM(C279:N279)</f>
        <v>0</v>
      </c>
    </row>
    <row r="280" customFormat="false" ht="15" hidden="false" customHeight="false" outlineLevel="0" collapsed="false">
      <c r="A280" s="0" t="s">
        <v>226</v>
      </c>
      <c r="C280" s="0" t="n">
        <f aca="false">C277-C278-C279</f>
        <v>-32500</v>
      </c>
      <c r="D280" s="0" t="n">
        <f aca="false">D277-D278-D279</f>
        <v>-27082.13</v>
      </c>
      <c r="E280" s="0" t="n">
        <f aca="false">E277-E278-E279</f>
        <v>-20689.0434</v>
      </c>
      <c r="F280" s="0" t="n">
        <f aca="false">F277-F278-F279</f>
        <v>-13320.7402</v>
      </c>
      <c r="G280" s="0" t="n">
        <f aca="false">G277-G278-G279</f>
        <v>-10395.0904</v>
      </c>
      <c r="H280" s="0" t="n">
        <f aca="false">H277-H278-H279</f>
        <v>-2051.57060000001</v>
      </c>
      <c r="I280" s="0" t="n">
        <f aca="false">I277-I278-I279</f>
        <v>1849.29579999998</v>
      </c>
      <c r="J280" s="0" t="n">
        <f aca="false">J277-J278-J279</f>
        <v>11168.0322</v>
      </c>
      <c r="K280" s="0" t="n">
        <f aca="false">K277-K278-K279</f>
        <v>16044.1152</v>
      </c>
      <c r="L280" s="0" t="n">
        <f aca="false">L277-L278-L279</f>
        <v>20920.1982</v>
      </c>
      <c r="M280" s="0" t="n">
        <f aca="false">M277-M278-M279</f>
        <v>31214.1512</v>
      </c>
      <c r="N280" s="0" t="n">
        <f aca="false">N277-N278-N279</f>
        <v>37065.4508</v>
      </c>
      <c r="O280" s="0" t="n">
        <f aca="false">SUM(C280:N280)</f>
        <v>12222.6687999999</v>
      </c>
    </row>
    <row r="281" customFormat="false" ht="15" hidden="false" customHeight="false" outlineLevel="0" collapsed="false">
      <c r="A281" s="0" t="s">
        <v>227</v>
      </c>
      <c r="C281" s="0" t="n">
        <f aca="false">IF(C268&gt;=Assumptions!$B$13,Assumptions!$B$12,0)</f>
        <v>0</v>
      </c>
      <c r="D281" s="0" t="n">
        <f aca="false">IF(D268&gt;=Assumptions!$B$13,Assumptions!$B$12,0)</f>
        <v>0</v>
      </c>
      <c r="E281" s="0" t="n">
        <f aca="false">IF(E268&gt;=Assumptions!$B$13,Assumptions!$B$12,0)</f>
        <v>0</v>
      </c>
      <c r="F281" s="0" t="n">
        <f aca="false">IF(F268&gt;=Assumptions!$B$13,Assumptions!$B$12,0)</f>
        <v>0</v>
      </c>
      <c r="G281" s="0" t="n">
        <f aca="false">IF(G268&gt;=Assumptions!$B$13,Assumptions!$B$12,0)</f>
        <v>0</v>
      </c>
      <c r="H281" s="0" t="n">
        <f aca="false">IF(H268&gt;=Assumptions!$B$13,Assumptions!$B$12,0)</f>
        <v>0</v>
      </c>
      <c r="I281" s="0" t="n">
        <f aca="false">IF(I268&gt;=Assumptions!$B$13,Assumptions!$B$12,0)</f>
        <v>15000</v>
      </c>
      <c r="J281" s="0" t="n">
        <f aca="false">IF(J268&gt;=Assumptions!$B$13,Assumptions!$B$12,0)</f>
        <v>15000</v>
      </c>
      <c r="K281" s="0" t="n">
        <f aca="false">IF(K268&gt;=Assumptions!$B$13,Assumptions!$B$12,0)</f>
        <v>15000</v>
      </c>
      <c r="L281" s="0" t="n">
        <f aca="false">IF(L268&gt;=Assumptions!$B$13,Assumptions!$B$12,0)</f>
        <v>15000</v>
      </c>
      <c r="M281" s="0" t="n">
        <f aca="false">IF(M268&gt;=Assumptions!$B$13,Assumptions!$B$12,0)</f>
        <v>15000</v>
      </c>
      <c r="N281" s="0" t="n">
        <f aca="false">IF(N268&gt;=Assumptions!$B$13,Assumptions!$B$12,0)</f>
        <v>15000</v>
      </c>
      <c r="O281" s="0" t="n">
        <f aca="false">SUM(C281:N281)</f>
        <v>90000</v>
      </c>
    </row>
    <row r="282" customFormat="false" ht="15" hidden="false" customHeight="false" outlineLevel="0" collapsed="false">
      <c r="A282" s="0" t="s">
        <v>228</v>
      </c>
      <c r="C282" s="0" t="n">
        <f aca="false">C280-C281</f>
        <v>-32500</v>
      </c>
      <c r="D282" s="0" t="n">
        <f aca="false">D280-D281</f>
        <v>-27082.13</v>
      </c>
      <c r="E282" s="0" t="n">
        <f aca="false">E280-E281</f>
        <v>-20689.0434</v>
      </c>
      <c r="F282" s="0" t="n">
        <f aca="false">F280-F281</f>
        <v>-13320.7402</v>
      </c>
      <c r="G282" s="0" t="n">
        <f aca="false">G280-G281</f>
        <v>-10395.0904</v>
      </c>
      <c r="H282" s="0" t="n">
        <f aca="false">H280-H281</f>
        <v>-2051.57060000001</v>
      </c>
      <c r="I282" s="0" t="n">
        <f aca="false">I280-I281</f>
        <v>-13150.7042</v>
      </c>
      <c r="J282" s="0" t="n">
        <f aca="false">J280-J281</f>
        <v>-3831.96780000001</v>
      </c>
      <c r="K282" s="0" t="n">
        <f aca="false">K280-K281</f>
        <v>1044.11519999997</v>
      </c>
      <c r="L282" s="0" t="n">
        <f aca="false">L280-L281</f>
        <v>5920.19819999998</v>
      </c>
      <c r="M282" s="0" t="n">
        <f aca="false">M280-M281</f>
        <v>16214.1512</v>
      </c>
      <c r="N282" s="0" t="n">
        <f aca="false">N280-N281</f>
        <v>22065.4508</v>
      </c>
      <c r="O282" s="0" t="n">
        <f aca="false">SUM(C282:N282)</f>
        <v>-77777.3312000001</v>
      </c>
    </row>
    <row r="283" customFormat="false" ht="15" hidden="false" customHeight="false" outlineLevel="0" collapsed="false">
      <c r="A283" s="0" t="s">
        <v>229</v>
      </c>
      <c r="C283" s="0" t="n">
        <f aca="false">Assumptions!$B$9*C274+(1-Assumptions!$B$9)*IF(C268-$Q$267&gt;=1,INDEX($C274:$N274,C268-$Q$267),0)</f>
        <v>0</v>
      </c>
      <c r="D283" s="0" t="n">
        <f aca="false">Assumptions!$B$9*D274+(1-Assumptions!$B$9)*IF(D268-$Q$267&gt;=1,INDEX($C274:$N274,D268-$Q$267),0)</f>
        <v>13359.375</v>
      </c>
      <c r="E283" s="0" t="n">
        <f aca="false">Assumptions!$B$9*E274+(1-Assumptions!$B$9)*IF(E268-$Q$267&gt;=1,INDEX($C274:$N274,E268-$Q$267),0)</f>
        <v>29123.4375</v>
      </c>
      <c r="F283" s="0" t="n">
        <f aca="false">Assumptions!$B$9*F274+(1-Assumptions!$B$9)*IF(F268-$Q$267&gt;=1,INDEX($C274:$N274,F268-$Q$267),0)</f>
        <v>60651.5625</v>
      </c>
      <c r="G283" s="0" t="n">
        <f aca="false">Assumptions!$B$9*G274+(1-Assumptions!$B$9)*IF(G268-$Q$267&gt;=1,INDEX($C274:$N274,G268-$Q$267),0)</f>
        <v>83629.6875</v>
      </c>
      <c r="H283" s="0" t="n">
        <f aca="false">Assumptions!$B$9*H274+(1-Assumptions!$B$9)*IF(H268-$Q$267&gt;=1,INDEX($C274:$N274,H268-$Q$267),0)</f>
        <v>122371.875</v>
      </c>
      <c r="I283" s="0" t="n">
        <f aca="false">Assumptions!$B$9*I274+(1-Assumptions!$B$9)*IF(I268-$Q$267&gt;=1,INDEX($C274:$N274,I268-$Q$267),0)</f>
        <v>139204.6875</v>
      </c>
      <c r="J283" s="0" t="n">
        <f aca="false">Assumptions!$B$9*J274+(1-Assumptions!$B$9)*IF(J268-$Q$267&gt;=1,INDEX($C274:$N274,J268-$Q$267),0)</f>
        <v>182756.25</v>
      </c>
      <c r="K283" s="0" t="n">
        <f aca="false">Assumptions!$B$9*K274+(1-Assumptions!$B$9)*IF(K268-$Q$267&gt;=1,INDEX($C274:$N274,K268-$Q$267),0)</f>
        <v>204398.4375</v>
      </c>
      <c r="L283" s="0" t="n">
        <f aca="false">Assumptions!$B$9*L274+(1-Assumptions!$B$9)*IF(L268-$Q$267&gt;=1,INDEX($C274:$N274,L268-$Q$267),0)</f>
        <v>239400</v>
      </c>
      <c r="M283" s="0" t="n">
        <f aca="false">Assumptions!$B$9*M274+(1-Assumptions!$B$9)*IF(M268-$Q$267&gt;=1,INDEX($C274:$N274,M268-$Q$267),0)</f>
        <v>276806.25</v>
      </c>
      <c r="N283" s="0" t="n">
        <f aca="false">Assumptions!$B$9*N274+(1-Assumptions!$B$9)*IF(N268-$Q$267&gt;=1,INDEX($C274:$N274,N268-$Q$267),0)</f>
        <v>303257.8125</v>
      </c>
      <c r="O283" s="0" t="n">
        <f aca="false">SUM(C283:N283)</f>
        <v>1654959.375</v>
      </c>
    </row>
    <row r="284" customFormat="false" ht="15" hidden="false" customHeight="false" outlineLevel="0" collapsed="false">
      <c r="A284" s="0" t="s">
        <v>230</v>
      </c>
      <c r="C284" s="0" t="n">
        <f aca="false">C275+C276+C278+C279+C281</f>
        <v>32500</v>
      </c>
      <c r="D284" s="0" t="n">
        <f aca="false">D275+D276+D278+D279+D281</f>
        <v>53800.88</v>
      </c>
      <c r="E284" s="0" t="n">
        <f aca="false">E275+E276+E278+E279+E281</f>
        <v>78935.9184</v>
      </c>
      <c r="F284" s="0" t="n">
        <f aca="false">F275+F276+F278+F279+F281</f>
        <v>107905.1152</v>
      </c>
      <c r="G284" s="0" t="n">
        <f aca="false">G275+G276+G278+G279+G281</f>
        <v>119407.5904</v>
      </c>
      <c r="H284" s="0" t="n">
        <f aca="false">H275+H276+H278+H279+H281</f>
        <v>152210.9456</v>
      </c>
      <c r="I284" s="0" t="n">
        <f aca="false">I275+I276+I278+I279+I281</f>
        <v>182547.5792</v>
      </c>
      <c r="J284" s="0" t="n">
        <f aca="false">J275+J276+J278+J279+J281</f>
        <v>219185.0928</v>
      </c>
      <c r="K284" s="0" t="n">
        <f aca="false">K275+K276+K278+K279+K281</f>
        <v>238355.8848</v>
      </c>
      <c r="L284" s="0" t="n">
        <f aca="false">L275+L276+L278+L279+L281</f>
        <v>257526.6768</v>
      </c>
      <c r="M284" s="0" t="n">
        <f aca="false">M275+M276+M278+M279+M281</f>
        <v>297998.3488</v>
      </c>
      <c r="N284" s="0" t="n">
        <f aca="false">N275+N276+N278+N279+N281</f>
        <v>321003.2992</v>
      </c>
      <c r="O284" s="0" t="n">
        <f aca="false">SUM(C284:N284)</f>
        <v>2061377.3312</v>
      </c>
    </row>
    <row r="285" customFormat="false" ht="15" hidden="false" customHeight="false" outlineLevel="0" collapsed="false">
      <c r="A285" s="0" t="s">
        <v>231</v>
      </c>
      <c r="C285" s="0" t="n">
        <f aca="false">C283-C284</f>
        <v>-32500</v>
      </c>
      <c r="D285" s="0" t="n">
        <f aca="false">D283-D284</f>
        <v>-40441.505</v>
      </c>
      <c r="E285" s="0" t="n">
        <f aca="false">E283-E284</f>
        <v>-49812.4809</v>
      </c>
      <c r="F285" s="0" t="n">
        <f aca="false">F283-F284</f>
        <v>-47253.5527</v>
      </c>
      <c r="G285" s="0" t="n">
        <f aca="false">G283-G284</f>
        <v>-35777.9029</v>
      </c>
      <c r="H285" s="0" t="n">
        <f aca="false">H283-H284</f>
        <v>-29839.0706</v>
      </c>
      <c r="I285" s="0" t="n">
        <f aca="false">I283-I284</f>
        <v>-43342.8917</v>
      </c>
      <c r="J285" s="0" t="n">
        <f aca="false">J283-J284</f>
        <v>-36428.8428</v>
      </c>
      <c r="K285" s="0" t="n">
        <f aca="false">K283-K284</f>
        <v>-33957.4473000001</v>
      </c>
      <c r="L285" s="0" t="n">
        <f aca="false">L283-L284</f>
        <v>-18126.6768</v>
      </c>
      <c r="M285" s="0" t="n">
        <f aca="false">M283-M284</f>
        <v>-21192.0988</v>
      </c>
      <c r="N285" s="0" t="n">
        <f aca="false">N283-N284</f>
        <v>-17745.4867</v>
      </c>
      <c r="O285" s="0" t="n">
        <f aca="false">SUM(C285:N285)</f>
        <v>-406417.9562</v>
      </c>
    </row>
    <row r="286" customFormat="false" ht="15" hidden="false" customHeight="false" outlineLevel="0" collapsed="false">
      <c r="A286" s="0" t="s">
        <v>232</v>
      </c>
      <c r="C286" s="0" t="n">
        <f aca="false">Capital_Allocation!$C$20+C285</f>
        <v>202500</v>
      </c>
      <c r="D286" s="0" t="n">
        <f aca="false">C286+D285</f>
        <v>162058.495</v>
      </c>
      <c r="E286" s="0" t="n">
        <f aca="false">D286+E285</f>
        <v>112246.0141</v>
      </c>
      <c r="F286" s="0" t="n">
        <f aca="false">E286+F285</f>
        <v>64992.4614</v>
      </c>
      <c r="G286" s="0" t="n">
        <f aca="false">F286+G285</f>
        <v>29214.5585</v>
      </c>
      <c r="H286" s="0" t="n">
        <f aca="false">G286+H285</f>
        <v>-624.512100000022</v>
      </c>
      <c r="I286" s="0" t="n">
        <f aca="false">H286+I285</f>
        <v>-43967.4038000001</v>
      </c>
      <c r="J286" s="0" t="n">
        <f aca="false">I286+J285</f>
        <v>-80396.2466000001</v>
      </c>
      <c r="K286" s="0" t="n">
        <f aca="false">J286+K285</f>
        <v>-114353.6939</v>
      </c>
      <c r="L286" s="0" t="n">
        <f aca="false">K286+L285</f>
        <v>-132480.3707</v>
      </c>
      <c r="M286" s="0" t="n">
        <f aca="false">L286+M285</f>
        <v>-153672.4695</v>
      </c>
      <c r="N286" s="0" t="n">
        <f aca="false">M286+N285</f>
        <v>-171417.9562</v>
      </c>
    </row>
    <row r="287" customFormat="false" ht="15" hidden="false" customHeight="false" outlineLevel="0" collapsed="false">
      <c r="A287" s="0" t="s">
        <v>233</v>
      </c>
      <c r="C287" s="0" t="n">
        <f aca="false">SUM($C274:C274)-SUM($C283:C283)</f>
        <v>0</v>
      </c>
      <c r="D287" s="0" t="n">
        <f aca="false">SUM($C274:D274)-SUM($C283:D283)</f>
        <v>13359.375</v>
      </c>
      <c r="E287" s="0" t="n">
        <f aca="false">SUM($C274:E274)-SUM($C283:E283)</f>
        <v>42482.8125</v>
      </c>
      <c r="F287" s="0" t="n">
        <f aca="false">SUM($C274:F274)-SUM($C283:F283)</f>
        <v>76415.625</v>
      </c>
      <c r="G287" s="0" t="n">
        <f aca="false">SUM($C274:G274)-SUM($C283:G283)</f>
        <v>101798.4375</v>
      </c>
      <c r="H287" s="0" t="n">
        <f aca="false">SUM($C274:H274)-SUM($C283:H283)</f>
        <v>129585.9375</v>
      </c>
      <c r="I287" s="0" t="n">
        <f aca="false">SUM($C274:I274)-SUM($C283:I283)</f>
        <v>159778.125</v>
      </c>
      <c r="J287" s="0" t="n">
        <f aca="false">SUM($C274:J274)-SUM($C283:J283)</f>
        <v>192375</v>
      </c>
      <c r="K287" s="0" t="n">
        <f aca="false">SUM($C274:K274)-SUM($C283:K283)</f>
        <v>227376.5625</v>
      </c>
      <c r="L287" s="0" t="n">
        <f aca="false">SUM($C274:L274)-SUM($C283:L283)</f>
        <v>251423.4375</v>
      </c>
      <c r="M287" s="0" t="n">
        <f aca="false">SUM($C274:M274)-SUM($C283:M283)</f>
        <v>288829.6875</v>
      </c>
      <c r="N287" s="0" t="n">
        <f aca="false">SUM($C274:N274)-SUM($C283:N283)</f>
        <v>328640.625</v>
      </c>
    </row>
    <row r="288" customFormat="false" ht="15" hidden="false" customHeight="false" outlineLevel="0" collapsed="false">
      <c r="A288" s="0" t="s">
        <v>234</v>
      </c>
      <c r="C288" s="0" t="n">
        <f aca="false">SUM($C282:C282)</f>
        <v>-32500</v>
      </c>
      <c r="D288" s="0" t="n">
        <f aca="false">SUM($C282:D282)</f>
        <v>-59582.13</v>
      </c>
      <c r="E288" s="0" t="n">
        <f aca="false">SUM($C282:E282)</f>
        <v>-80271.1734</v>
      </c>
      <c r="F288" s="0" t="n">
        <f aca="false">SUM($C282:F282)</f>
        <v>-93591.9136</v>
      </c>
      <c r="G288" s="0" t="n">
        <f aca="false">SUM($C282:G282)</f>
        <v>-103987.004</v>
      </c>
      <c r="H288" s="0" t="n">
        <f aca="false">SUM($C282:H282)</f>
        <v>-106038.5746</v>
      </c>
      <c r="I288" s="0" t="n">
        <f aca="false">SUM($C282:I282)</f>
        <v>-119189.2788</v>
      </c>
      <c r="J288" s="0" t="n">
        <f aca="false">SUM($C282:J282)</f>
        <v>-123021.2466</v>
      </c>
      <c r="K288" s="0" t="n">
        <f aca="false">SUM($C282:K282)</f>
        <v>-121977.1314</v>
      </c>
      <c r="L288" s="0" t="n">
        <f aca="false">SUM($C282:L282)</f>
        <v>-116056.9332</v>
      </c>
      <c r="M288" s="0" t="n">
        <f aca="false">SUM($C282:M282)</f>
        <v>-99842.7820000001</v>
      </c>
      <c r="N288" s="0" t="n">
        <f aca="false">SUM($C282:N282)</f>
        <v>-77777.3312000001</v>
      </c>
    </row>
    <row r="289" customFormat="false" ht="15" hidden="false" customHeight="false" outlineLevel="0" collapsed="false">
      <c r="A289" s="0" t="s">
        <v>235</v>
      </c>
      <c r="C289" s="0" t="n">
        <f aca="false">IF(C282&gt;=0,C268,99)</f>
        <v>99</v>
      </c>
      <c r="D289" s="0" t="n">
        <f aca="false">IF(D282&gt;=0,D268,99)</f>
        <v>99</v>
      </c>
      <c r="E289" s="0" t="n">
        <f aca="false">IF(E282&gt;=0,E268,99)</f>
        <v>99</v>
      </c>
      <c r="F289" s="0" t="n">
        <f aca="false">IF(F282&gt;=0,F268,99)</f>
        <v>99</v>
      </c>
      <c r="G289" s="0" t="n">
        <f aca="false">IF(G282&gt;=0,G268,99)</f>
        <v>99</v>
      </c>
      <c r="H289" s="0" t="n">
        <f aca="false">IF(H282&gt;=0,H268,99)</f>
        <v>99</v>
      </c>
      <c r="I289" s="0" t="n">
        <f aca="false">IF(I282&gt;=0,I268,99)</f>
        <v>99</v>
      </c>
      <c r="J289" s="0" t="n">
        <f aca="false">IF(J282&gt;=0,J268,99)</f>
        <v>99</v>
      </c>
      <c r="K289" s="0" t="n">
        <f aca="false">IF(K282&gt;=0,K268,99)</f>
        <v>9</v>
      </c>
      <c r="L289" s="0" t="n">
        <f aca="false">IF(L282&gt;=0,L268,99)</f>
        <v>10</v>
      </c>
      <c r="M289" s="0" t="n">
        <f aca="false">IF(M282&gt;=0,M268,99)</f>
        <v>11</v>
      </c>
      <c r="N289" s="0" t="n">
        <f aca="false">IF(N282&gt;=0,N268,99)</f>
        <v>12</v>
      </c>
    </row>
    <row r="290" customFormat="false" ht="15" hidden="false" customHeight="false" outlineLevel="0" collapsed="false">
      <c r="A290" s="0" t="s">
        <v>236</v>
      </c>
      <c r="C290" s="0" t="n">
        <f aca="false">IF(C280&gt;=0,C268,99)</f>
        <v>99</v>
      </c>
      <c r="D290" s="0" t="n">
        <f aca="false">IF(D280&gt;=0,D268,99)</f>
        <v>99</v>
      </c>
      <c r="E290" s="0" t="n">
        <f aca="false">IF(E280&gt;=0,E268,99)</f>
        <v>99</v>
      </c>
      <c r="F290" s="0" t="n">
        <f aca="false">IF(F280&gt;=0,F268,99)</f>
        <v>99</v>
      </c>
      <c r="G290" s="0" t="n">
        <f aca="false">IF(G280&gt;=0,G268,99)</f>
        <v>99</v>
      </c>
      <c r="H290" s="0" t="n">
        <f aca="false">IF(H280&gt;=0,H268,99)</f>
        <v>99</v>
      </c>
      <c r="I290" s="0" t="n">
        <f aca="false">IF(I280&gt;=0,I268,99)</f>
        <v>7</v>
      </c>
      <c r="J290" s="0" t="n">
        <f aca="false">IF(J280&gt;=0,J268,99)</f>
        <v>8</v>
      </c>
      <c r="K290" s="0" t="n">
        <f aca="false">IF(K280&gt;=0,K268,99)</f>
        <v>9</v>
      </c>
      <c r="L290" s="0" t="n">
        <f aca="false">IF(L280&gt;=0,L268,99)</f>
        <v>10</v>
      </c>
      <c r="M290" s="0" t="n">
        <f aca="false">IF(M280&gt;=0,M268,99)</f>
        <v>11</v>
      </c>
      <c r="N290" s="0" t="n">
        <f aca="false">IF(N280&gt;=0,N268,99)</f>
        <v>12</v>
      </c>
    </row>
    <row r="291" customFormat="false" ht="15" hidden="false" customHeight="false" outlineLevel="0" collapsed="false">
      <c r="A291" s="5" t="s">
        <v>237</v>
      </c>
      <c r="B291" s="3" t="n">
        <f aca="false">O274</f>
        <v>1983600</v>
      </c>
    </row>
    <row r="292" customFormat="false" ht="15" hidden="false" customHeight="false" outlineLevel="0" collapsed="false">
      <c r="A292" s="5" t="s">
        <v>238</v>
      </c>
      <c r="B292" s="3" t="n">
        <f aca="false">O277</f>
        <v>402222.6688</v>
      </c>
    </row>
    <row r="293" customFormat="false" ht="15" hidden="false" customHeight="false" outlineLevel="0" collapsed="false">
      <c r="A293" s="5" t="s">
        <v>239</v>
      </c>
      <c r="B293" s="3" t="n">
        <f aca="false">O282</f>
        <v>-77777.3312000001</v>
      </c>
    </row>
    <row r="294" customFormat="false" ht="15" hidden="false" customHeight="false" outlineLevel="0" collapsed="false">
      <c r="A294" s="5" t="s">
        <v>240</v>
      </c>
      <c r="B294" s="3" t="n">
        <f aca="false">MIN(C286:N286)</f>
        <v>-171417.9562</v>
      </c>
    </row>
    <row r="295" customFormat="false" ht="15" hidden="false" customHeight="false" outlineLevel="0" collapsed="false">
      <c r="A295" s="5" t="s">
        <v>241</v>
      </c>
      <c r="B295" s="3" t="n">
        <f aca="false">N286</f>
        <v>-171417.9562</v>
      </c>
    </row>
    <row r="296" customFormat="false" ht="15" hidden="false" customHeight="false" outlineLevel="0" collapsed="false">
      <c r="A296" s="5" t="s">
        <v>242</v>
      </c>
      <c r="B296" s="0" t="str">
        <f aca="false">IF(B294&gt;=0,"YES","NO")</f>
        <v>NO</v>
      </c>
    </row>
    <row r="297" customFormat="false" ht="15" hidden="false" customHeight="false" outlineLevel="0" collapsed="false">
      <c r="A297" s="5" t="s">
        <v>243</v>
      </c>
      <c r="B297" s="0" t="str">
        <f aca="false">IF(B294&gt;=Capital_Allocation!$C$16,"YES","NO")</f>
        <v>NO</v>
      </c>
    </row>
    <row r="298" customFormat="false" ht="15" hidden="false" customHeight="false" outlineLevel="0" collapsed="false">
      <c r="A298" s="5" t="s">
        <v>244</v>
      </c>
      <c r="B298" s="3" t="n">
        <f aca="false">IF(MIN(C290:N290)=99,"none in 12 mo",MIN(C290:N290))</f>
        <v>7</v>
      </c>
    </row>
    <row r="299" customFormat="false" ht="15" hidden="false" customHeight="false" outlineLevel="0" collapsed="false">
      <c r="A299" s="5" t="s">
        <v>245</v>
      </c>
      <c r="B299" s="3" t="n">
        <f aca="false">N282</f>
        <v>22065.4508</v>
      </c>
    </row>
    <row r="300" customFormat="false" ht="15" hidden="false" customHeight="false" outlineLevel="0" collapsed="false">
      <c r="A300" s="5" t="s">
        <v>246</v>
      </c>
      <c r="B300" s="3" t="n">
        <f aca="false">N287</f>
        <v>328640.625</v>
      </c>
    </row>
    <row r="301" customFormat="false" ht="15" hidden="false" customHeight="false" outlineLevel="0" collapsed="false">
      <c r="A301" s="5" t="s">
        <v>247</v>
      </c>
      <c r="B301" s="3" t="n">
        <f aca="false">IF(MIN(C289:N289)=99,"none in 12 mo",MIN(C289:N289))</f>
        <v>9</v>
      </c>
    </row>
    <row r="305" customFormat="false" ht="15" hidden="false" customHeight="false" outlineLevel="0" collapsed="false">
      <c r="A305" s="5" t="s">
        <v>255</v>
      </c>
      <c r="P305" s="3" t="s">
        <v>214</v>
      </c>
      <c r="Q305" s="3" t="n">
        <f aca="false">MAX(1,ROUNDUP((Assumptions!$B$10+Scenario_Inputs!$F$35)/30,0))</f>
        <v>1</v>
      </c>
    </row>
    <row r="306" customFormat="false" ht="15" hidden="false" customHeight="false" outlineLevel="0" collapsed="false">
      <c r="A306" s="0" t="s">
        <v>66</v>
      </c>
      <c r="C306" s="0" t="n">
        <v>1</v>
      </c>
      <c r="D306" s="0" t="n">
        <v>2</v>
      </c>
      <c r="E306" s="0" t="n">
        <v>3</v>
      </c>
      <c r="F306" s="0" t="n">
        <v>4</v>
      </c>
      <c r="G306" s="0" t="n">
        <v>5</v>
      </c>
      <c r="H306" s="0" t="n">
        <v>6</v>
      </c>
      <c r="I306" s="0" t="n">
        <v>7</v>
      </c>
      <c r="J306" s="0" t="n">
        <v>8</v>
      </c>
      <c r="K306" s="0" t="n">
        <v>9</v>
      </c>
      <c r="L306" s="0" t="n">
        <v>10</v>
      </c>
      <c r="M306" s="0" t="n">
        <v>11</v>
      </c>
      <c r="N306" s="0" t="n">
        <v>12</v>
      </c>
      <c r="O306" s="5" t="s">
        <v>215</v>
      </c>
    </row>
    <row r="307" customFormat="false" ht="15" hidden="false" customHeight="false" outlineLevel="0" collapsed="false">
      <c r="A307" s="0" t="s">
        <v>216</v>
      </c>
      <c r="C307" s="0" t="n">
        <f aca="false">Assumptions!B$33*Scenario_Inputs!$D$35</f>
        <v>0</v>
      </c>
      <c r="D307" s="0" t="n">
        <f aca="false">Assumptions!C$33*Scenario_Inputs!$D$35</f>
        <v>1</v>
      </c>
      <c r="E307" s="0" t="n">
        <f aca="false">Assumptions!D$33*Scenario_Inputs!$D$35</f>
        <v>2</v>
      </c>
      <c r="F307" s="0" t="n">
        <f aca="false">Assumptions!E$33*Scenario_Inputs!$D$35</f>
        <v>3</v>
      </c>
      <c r="G307" s="0" t="n">
        <f aca="false">Assumptions!F$33*Scenario_Inputs!$D$35</f>
        <v>3</v>
      </c>
      <c r="H307" s="0" t="n">
        <f aca="false">Assumptions!G$33*Scenario_Inputs!$D$35</f>
        <v>4</v>
      </c>
      <c r="I307" s="0" t="n">
        <f aca="false">Assumptions!H$33*Scenario_Inputs!$D$35</f>
        <v>4</v>
      </c>
      <c r="J307" s="0" t="n">
        <f aca="false">Assumptions!I$33*Scenario_Inputs!$D$35</f>
        <v>5</v>
      </c>
      <c r="K307" s="0" t="n">
        <f aca="false">Assumptions!J$33*Scenario_Inputs!$D$35</f>
        <v>5</v>
      </c>
      <c r="L307" s="0" t="n">
        <f aca="false">Assumptions!K$33*Scenario_Inputs!$D$35</f>
        <v>5</v>
      </c>
      <c r="M307" s="0" t="n">
        <f aca="false">Assumptions!L$33*Scenario_Inputs!$D$35</f>
        <v>6</v>
      </c>
      <c r="N307" s="0" t="n">
        <f aca="false">Assumptions!M$33*Scenario_Inputs!$D$35</f>
        <v>6</v>
      </c>
      <c r="O307" s="0" t="n">
        <f aca="false">SUM(C307:N307)</f>
        <v>44</v>
      </c>
    </row>
    <row r="308" customFormat="false" ht="15" hidden="false" customHeight="false" outlineLevel="0" collapsed="false">
      <c r="A308" s="0" t="s">
        <v>217</v>
      </c>
      <c r="C308" s="0" t="n">
        <v>0</v>
      </c>
      <c r="D308" s="0" t="n">
        <f aca="false">SUM($C307:C307)</f>
        <v>0</v>
      </c>
      <c r="E308" s="0" t="n">
        <f aca="false">SUM($C307:D307)</f>
        <v>1</v>
      </c>
      <c r="F308" s="0" t="n">
        <f aca="false">SUM($C307:E307)</f>
        <v>3</v>
      </c>
      <c r="G308" s="0" t="n">
        <f aca="false">SUM($C307:F307)</f>
        <v>6</v>
      </c>
      <c r="H308" s="0" t="n">
        <f aca="false">SUM($C307:G307)</f>
        <v>9</v>
      </c>
      <c r="I308" s="0" t="n">
        <f aca="false">SUM($C307:H307)</f>
        <v>13</v>
      </c>
      <c r="J308" s="0" t="n">
        <f aca="false">SUM($C307:I307)</f>
        <v>17</v>
      </c>
      <c r="K308" s="0" t="n">
        <f aca="false">SUM($C307:J307)</f>
        <v>22</v>
      </c>
      <c r="L308" s="0" t="n">
        <f aca="false">SUM($C307:K307)</f>
        <v>27</v>
      </c>
      <c r="M308" s="0" t="n">
        <f aca="false">SUM($C307:L307)</f>
        <v>32</v>
      </c>
      <c r="N308" s="0" t="n">
        <f aca="false">SUM($C307:M307)</f>
        <v>38</v>
      </c>
    </row>
    <row r="309" customFormat="false" ht="15" hidden="false" customHeight="false" outlineLevel="0" collapsed="false">
      <c r="A309" s="0" t="s">
        <v>218</v>
      </c>
      <c r="C309" s="0" t="n">
        <f aca="false">C308*Assumptions!$B$11*Scenario_Inputs!$E$35</f>
        <v>0</v>
      </c>
      <c r="D309" s="0" t="n">
        <f aca="false">D308*Assumptions!$B$11*Scenario_Inputs!$E$35</f>
        <v>0</v>
      </c>
      <c r="E309" s="0" t="n">
        <f aca="false">E308*Assumptions!$B$11*Scenario_Inputs!$E$35</f>
        <v>0.18</v>
      </c>
      <c r="F309" s="0" t="n">
        <f aca="false">F308*Assumptions!$B$11*Scenario_Inputs!$E$35</f>
        <v>0.54</v>
      </c>
      <c r="G309" s="0" t="n">
        <f aca="false">G308*Assumptions!$B$11*Scenario_Inputs!$E$35</f>
        <v>1.08</v>
      </c>
      <c r="H309" s="0" t="n">
        <f aca="false">H308*Assumptions!$B$11*Scenario_Inputs!$E$35</f>
        <v>1.62</v>
      </c>
      <c r="I309" s="0" t="n">
        <f aca="false">I308*Assumptions!$B$11*Scenario_Inputs!$E$35</f>
        <v>2.34</v>
      </c>
      <c r="J309" s="0" t="n">
        <f aca="false">J308*Assumptions!$B$11*Scenario_Inputs!$E$35</f>
        <v>3.06</v>
      </c>
      <c r="K309" s="0" t="n">
        <f aca="false">K308*Assumptions!$B$11*Scenario_Inputs!$E$35</f>
        <v>3.96</v>
      </c>
      <c r="L309" s="0" t="n">
        <f aca="false">L308*Assumptions!$B$11*Scenario_Inputs!$E$35</f>
        <v>4.86</v>
      </c>
      <c r="M309" s="0" t="n">
        <f aca="false">M308*Assumptions!$B$11*Scenario_Inputs!$E$35</f>
        <v>5.76</v>
      </c>
      <c r="N309" s="0" t="n">
        <f aca="false">N308*Assumptions!$B$11*Scenario_Inputs!$E$35</f>
        <v>6.84</v>
      </c>
      <c r="O309" s="0" t="n">
        <f aca="false">SUM(C309:N309)</f>
        <v>30.24</v>
      </c>
    </row>
    <row r="310" customFormat="false" ht="15" hidden="false" customHeight="false" outlineLevel="0" collapsed="false">
      <c r="A310" s="0" t="s">
        <v>219</v>
      </c>
      <c r="C310" s="0" t="n">
        <f aca="false">C307+C309</f>
        <v>0</v>
      </c>
      <c r="D310" s="0" t="n">
        <f aca="false">D307+D309</f>
        <v>1</v>
      </c>
      <c r="E310" s="0" t="n">
        <f aca="false">E307+E309</f>
        <v>2.18</v>
      </c>
      <c r="F310" s="0" t="n">
        <f aca="false">F307+F309</f>
        <v>3.54</v>
      </c>
      <c r="G310" s="0" t="n">
        <f aca="false">G307+G309</f>
        <v>4.08</v>
      </c>
      <c r="H310" s="0" t="n">
        <f aca="false">H307+H309</f>
        <v>5.62</v>
      </c>
      <c r="I310" s="0" t="n">
        <f aca="false">I307+I309</f>
        <v>6.34</v>
      </c>
      <c r="J310" s="0" t="n">
        <f aca="false">J307+J309</f>
        <v>8.06</v>
      </c>
      <c r="K310" s="0" t="n">
        <f aca="false">K307+K309</f>
        <v>8.96</v>
      </c>
      <c r="L310" s="0" t="n">
        <f aca="false">L307+L309</f>
        <v>9.86</v>
      </c>
      <c r="M310" s="0" t="n">
        <f aca="false">M307+M309</f>
        <v>11.76</v>
      </c>
      <c r="N310" s="0" t="n">
        <f aca="false">N307+N309</f>
        <v>12.84</v>
      </c>
      <c r="O310" s="0" t="n">
        <f aca="false">SUM(C310:N310)</f>
        <v>74.24</v>
      </c>
    </row>
    <row r="311" customFormat="false" ht="15" hidden="false" customHeight="false" outlineLevel="0" collapsed="false">
      <c r="A311" s="0" t="s">
        <v>220</v>
      </c>
      <c r="C311" s="0" t="n">
        <f aca="false">C310*Assumptions!$B$5*Scenario_Inputs!G$36</f>
        <v>0</v>
      </c>
      <c r="D311" s="0" t="n">
        <f aca="false">D310*Assumptions!$B$5*Scenario_Inputs!H$36</f>
        <v>26718.75</v>
      </c>
      <c r="E311" s="0" t="n">
        <f aca="false">E310*Assumptions!$B$5*Scenario_Inputs!I$36</f>
        <v>58246.875</v>
      </c>
      <c r="F311" s="0" t="n">
        <f aca="false">F310*Assumptions!$B$5*Scenario_Inputs!J$36</f>
        <v>94584.375</v>
      </c>
      <c r="G311" s="0" t="n">
        <f aca="false">G310*Assumptions!$B$5*Scenario_Inputs!K$36</f>
        <v>43605</v>
      </c>
      <c r="H311" s="0" t="n">
        <f aca="false">H310*Assumptions!$B$5*Scenario_Inputs!L$36</f>
        <v>60063.75</v>
      </c>
      <c r="I311" s="0" t="n">
        <f aca="false">I310*Assumptions!$B$5*Scenario_Inputs!M$36</f>
        <v>169396.875</v>
      </c>
      <c r="J311" s="0" t="n">
        <f aca="false">J310*Assumptions!$B$5*Scenario_Inputs!N$36</f>
        <v>215353.125</v>
      </c>
      <c r="K311" s="0" t="n">
        <f aca="false">K310*Assumptions!$B$5*Scenario_Inputs!O$36</f>
        <v>239400</v>
      </c>
      <c r="L311" s="0" t="n">
        <f aca="false">L310*Assumptions!$B$5*Scenario_Inputs!P$36</f>
        <v>263446.875</v>
      </c>
      <c r="M311" s="0" t="n">
        <f aca="false">M310*Assumptions!$B$5*Scenario_Inputs!Q$36</f>
        <v>314212.5</v>
      </c>
      <c r="N311" s="0" t="n">
        <f aca="false">N310*Assumptions!$B$5*Scenario_Inputs!R$36</f>
        <v>343068.75</v>
      </c>
      <c r="O311" s="0" t="n">
        <f aca="false">SUM(C311:N311)</f>
        <v>1828096.875</v>
      </c>
    </row>
    <row r="312" customFormat="false" ht="15" hidden="false" customHeight="false" outlineLevel="0" collapsed="false">
      <c r="A312" s="0" t="s">
        <v>221</v>
      </c>
      <c r="C312" s="0" t="n">
        <f aca="false">C311*Scenario_Inputs!$B$35</f>
        <v>0</v>
      </c>
      <c r="D312" s="0" t="n">
        <f aca="false">D311*Scenario_Inputs!$B$35</f>
        <v>26718.75</v>
      </c>
      <c r="E312" s="0" t="n">
        <f aca="false">E311*Scenario_Inputs!$B$35</f>
        <v>58246.875</v>
      </c>
      <c r="F312" s="0" t="n">
        <f aca="false">F311*Scenario_Inputs!$B$35</f>
        <v>94584.375</v>
      </c>
      <c r="G312" s="0" t="n">
        <f aca="false">G311*Scenario_Inputs!$B$35</f>
        <v>43605</v>
      </c>
      <c r="H312" s="0" t="n">
        <f aca="false">H311*Scenario_Inputs!$B$35</f>
        <v>60063.75</v>
      </c>
      <c r="I312" s="0" t="n">
        <f aca="false">I311*Scenario_Inputs!$B$35</f>
        <v>169396.875</v>
      </c>
      <c r="J312" s="0" t="n">
        <f aca="false">J311*Scenario_Inputs!$B$35</f>
        <v>215353.125</v>
      </c>
      <c r="K312" s="0" t="n">
        <f aca="false">K311*Scenario_Inputs!$B$35</f>
        <v>239400</v>
      </c>
      <c r="L312" s="0" t="n">
        <f aca="false">L311*Scenario_Inputs!$B$35</f>
        <v>263446.875</v>
      </c>
      <c r="M312" s="0" t="n">
        <f aca="false">M311*Scenario_Inputs!$B$35</f>
        <v>314212.5</v>
      </c>
      <c r="N312" s="0" t="n">
        <f aca="false">N311*Scenario_Inputs!$B$35</f>
        <v>343068.75</v>
      </c>
      <c r="O312" s="0" t="n">
        <f aca="false">SUM(C312:N312)</f>
        <v>1828096.875</v>
      </c>
    </row>
    <row r="313" customFormat="false" ht="15" hidden="false" customHeight="false" outlineLevel="0" collapsed="false">
      <c r="A313" s="0" t="s">
        <v>222</v>
      </c>
      <c r="C313" s="0" t="n">
        <f aca="false">C311*(1-Assumptions!$B$6)*Scenario_Inputs!$C$35*(1+(1-Assumptions!$B$26)*Assumptions!$B$21*Assumptions!$B$27)</f>
        <v>0</v>
      </c>
      <c r="D313" s="0" t="n">
        <f aca="false">D311*(1-Assumptions!$B$6)*Scenario_Inputs!$C$35*(1+(1-Assumptions!$B$26)*Assumptions!$B$21*Assumptions!$B$27)</f>
        <v>19697.755</v>
      </c>
      <c r="E313" s="0" t="n">
        <f aca="false">E311*(1-Assumptions!$B$6)*Scenario_Inputs!$C$35*(1+(1-Assumptions!$B$26)*Assumptions!$B$21*Assumptions!$B$27)</f>
        <v>42941.1059</v>
      </c>
      <c r="F313" s="0" t="n">
        <f aca="false">F311*(1-Assumptions!$B$6)*Scenario_Inputs!$C$35*(1+(1-Assumptions!$B$26)*Assumptions!$B$21*Assumptions!$B$27)</f>
        <v>69730.0527</v>
      </c>
      <c r="G313" s="0" t="n">
        <f aca="false">G311*(1-Assumptions!$B$6)*Scenario_Inputs!$C$35*(1+(1-Assumptions!$B$26)*Assumptions!$B$21*Assumptions!$B$27)</f>
        <v>32146.73616</v>
      </c>
      <c r="H313" s="0" t="n">
        <f aca="false">H311*(1-Assumptions!$B$6)*Scenario_Inputs!$C$35*(1+(1-Assumptions!$B$26)*Assumptions!$B$21*Assumptions!$B$27)</f>
        <v>44280.55324</v>
      </c>
      <c r="I313" s="0" t="n">
        <f aca="false">I311*(1-Assumptions!$B$6)*Scenario_Inputs!$C$35*(1+(1-Assumptions!$B$26)*Assumptions!$B$21*Assumptions!$B$27)</f>
        <v>124883.7667</v>
      </c>
      <c r="J313" s="0" t="n">
        <f aca="false">J311*(1-Assumptions!$B$6)*Scenario_Inputs!$C$35*(1+(1-Assumptions!$B$26)*Assumptions!$B$21*Assumptions!$B$27)</f>
        <v>158763.9053</v>
      </c>
      <c r="K313" s="0" t="n">
        <f aca="false">K311*(1-Assumptions!$B$6)*Scenario_Inputs!$C$35*(1+(1-Assumptions!$B$26)*Assumptions!$B$21*Assumptions!$B$27)</f>
        <v>176491.8848</v>
      </c>
      <c r="L313" s="0" t="n">
        <f aca="false">L311*(1-Assumptions!$B$6)*Scenario_Inputs!$C$35*(1+(1-Assumptions!$B$26)*Assumptions!$B$21*Assumptions!$B$27)</f>
        <v>194219.8643</v>
      </c>
      <c r="M313" s="0" t="n">
        <f aca="false">M311*(1-Assumptions!$B$6)*Scenario_Inputs!$C$35*(1+(1-Assumptions!$B$26)*Assumptions!$B$21*Assumptions!$B$27)</f>
        <v>231645.5988</v>
      </c>
      <c r="N313" s="0" t="n">
        <f aca="false">N311*(1-Assumptions!$B$6)*Scenario_Inputs!$C$35*(1+(1-Assumptions!$B$26)*Assumptions!$B$21*Assumptions!$B$27)</f>
        <v>252919.1742</v>
      </c>
      <c r="O313" s="0" t="n">
        <f aca="false">SUM(C313:N313)</f>
        <v>1347720.3971</v>
      </c>
    </row>
    <row r="314" customFormat="false" ht="15" hidden="false" customHeight="false" outlineLevel="0" collapsed="false">
      <c r="A314" s="0" t="s">
        <v>223</v>
      </c>
      <c r="C314" s="0" t="n">
        <f aca="false">C312*(Assumptions!$B$7+Assumptions!$B$8)</f>
        <v>0</v>
      </c>
      <c r="D314" s="0" t="n">
        <f aca="false">D312*(Assumptions!$B$7+Assumptions!$B$8)</f>
        <v>1603.125</v>
      </c>
      <c r="E314" s="0" t="n">
        <f aca="false">E312*(Assumptions!$B$7+Assumptions!$B$8)</f>
        <v>3494.8125</v>
      </c>
      <c r="F314" s="0" t="n">
        <f aca="false">F312*(Assumptions!$B$7+Assumptions!$B$8)</f>
        <v>5675.0625</v>
      </c>
      <c r="G314" s="0" t="n">
        <f aca="false">G312*(Assumptions!$B$7+Assumptions!$B$8)</f>
        <v>2616.3</v>
      </c>
      <c r="H314" s="0" t="n">
        <f aca="false">H312*(Assumptions!$B$7+Assumptions!$B$8)</f>
        <v>3603.825</v>
      </c>
      <c r="I314" s="0" t="n">
        <f aca="false">I312*(Assumptions!$B$7+Assumptions!$B$8)</f>
        <v>10163.8125</v>
      </c>
      <c r="J314" s="0" t="n">
        <f aca="false">J312*(Assumptions!$B$7+Assumptions!$B$8)</f>
        <v>12921.1875</v>
      </c>
      <c r="K314" s="0" t="n">
        <f aca="false">K312*(Assumptions!$B$7+Assumptions!$B$8)</f>
        <v>14364</v>
      </c>
      <c r="L314" s="0" t="n">
        <f aca="false">L312*(Assumptions!$B$7+Assumptions!$B$8)</f>
        <v>15806.8125</v>
      </c>
      <c r="M314" s="0" t="n">
        <f aca="false">M312*(Assumptions!$B$7+Assumptions!$B$8)</f>
        <v>18852.75</v>
      </c>
      <c r="N314" s="0" t="n">
        <f aca="false">N312*(Assumptions!$B$7+Assumptions!$B$8)</f>
        <v>20584.125</v>
      </c>
      <c r="O314" s="0" t="n">
        <f aca="false">SUM(C314:N314)</f>
        <v>109685.8125</v>
      </c>
    </row>
    <row r="315" customFormat="false" ht="15" hidden="false" customHeight="false" outlineLevel="0" collapsed="false">
      <c r="A315" s="0" t="s">
        <v>198</v>
      </c>
      <c r="C315" s="0" t="n">
        <f aca="false">C312-C313-C314</f>
        <v>0</v>
      </c>
      <c r="D315" s="0" t="n">
        <f aca="false">D312-D313-D314</f>
        <v>5417.87</v>
      </c>
      <c r="E315" s="0" t="n">
        <f aca="false">E312-E313-E314</f>
        <v>11810.9566</v>
      </c>
      <c r="F315" s="0" t="n">
        <f aca="false">F312-F313-F314</f>
        <v>19179.2598</v>
      </c>
      <c r="G315" s="0" t="n">
        <f aca="false">G312-G313-G314</f>
        <v>8841.96384</v>
      </c>
      <c r="H315" s="0" t="n">
        <f aca="false">H312-H313-H314</f>
        <v>12179.37176</v>
      </c>
      <c r="I315" s="0" t="n">
        <f aca="false">I312-I313-I314</f>
        <v>34349.2958</v>
      </c>
      <c r="J315" s="0" t="n">
        <f aca="false">J312-J313-J314</f>
        <v>43668.0322</v>
      </c>
      <c r="K315" s="0" t="n">
        <f aca="false">K312-K313-K314</f>
        <v>48544.1152</v>
      </c>
      <c r="L315" s="0" t="n">
        <f aca="false">L312-L313-L314</f>
        <v>53420.1982</v>
      </c>
      <c r="M315" s="0" t="n">
        <f aca="false">M312-M313-M314</f>
        <v>63714.1512</v>
      </c>
      <c r="N315" s="0" t="n">
        <f aca="false">N312-N313-N314</f>
        <v>69565.4508</v>
      </c>
      <c r="O315" s="0" t="n">
        <f aca="false">SUM(C315:N315)</f>
        <v>370690.6654</v>
      </c>
    </row>
    <row r="316" customFormat="false" ht="15" hidden="false" customHeight="false" outlineLevel="0" collapsed="false">
      <c r="A316" s="0" t="s">
        <v>224</v>
      </c>
      <c r="C316" s="0" t="n">
        <f aca="false">Assumptions!$B$29</f>
        <v>32500</v>
      </c>
      <c r="D316" s="0" t="n">
        <f aca="false">Assumptions!$B$29</f>
        <v>32500</v>
      </c>
      <c r="E316" s="0" t="n">
        <f aca="false">Assumptions!$B$29</f>
        <v>32500</v>
      </c>
      <c r="F316" s="0" t="n">
        <f aca="false">Assumptions!$B$29</f>
        <v>32500</v>
      </c>
      <c r="G316" s="0" t="n">
        <f aca="false">Assumptions!$B$29</f>
        <v>32500</v>
      </c>
      <c r="H316" s="0" t="n">
        <f aca="false">Assumptions!$B$29</f>
        <v>32500</v>
      </c>
      <c r="I316" s="0" t="n">
        <f aca="false">Assumptions!$B$29</f>
        <v>32500</v>
      </c>
      <c r="J316" s="0" t="n">
        <f aca="false">Assumptions!$B$29</f>
        <v>32500</v>
      </c>
      <c r="K316" s="0" t="n">
        <f aca="false">Assumptions!$B$29</f>
        <v>32500</v>
      </c>
      <c r="L316" s="0" t="n">
        <f aca="false">Assumptions!$B$29</f>
        <v>32500</v>
      </c>
      <c r="M316" s="0" t="n">
        <f aca="false">Assumptions!$B$29</f>
        <v>32500</v>
      </c>
      <c r="N316" s="0" t="n">
        <f aca="false">Assumptions!$B$29</f>
        <v>32500</v>
      </c>
      <c r="O316" s="0" t="n">
        <f aca="false">SUM(C316:N316)</f>
        <v>390000</v>
      </c>
    </row>
    <row r="317" customFormat="false" ht="15" hidden="false" customHeight="false" outlineLevel="0" collapsed="false">
      <c r="A317" s="0" t="s">
        <v>225</v>
      </c>
      <c r="C317" s="0" t="n">
        <f aca="false">Scenario_Inputs!G$37</f>
        <v>0</v>
      </c>
      <c r="D317" s="0" t="n">
        <f aca="false">Scenario_Inputs!H$37</f>
        <v>0</v>
      </c>
      <c r="E317" s="0" t="n">
        <f aca="false">Scenario_Inputs!I$37</f>
        <v>0</v>
      </c>
      <c r="F317" s="0" t="n">
        <f aca="false">Scenario_Inputs!J$37</f>
        <v>0</v>
      </c>
      <c r="G317" s="0" t="n">
        <f aca="false">Scenario_Inputs!K$37</f>
        <v>15000</v>
      </c>
      <c r="H317" s="0" t="n">
        <f aca="false">Scenario_Inputs!L$37</f>
        <v>0</v>
      </c>
      <c r="I317" s="0" t="n">
        <f aca="false">Scenario_Inputs!M$37</f>
        <v>0</v>
      </c>
      <c r="J317" s="0" t="n">
        <f aca="false">Scenario_Inputs!N$37</f>
        <v>0</v>
      </c>
      <c r="K317" s="0" t="n">
        <f aca="false">Scenario_Inputs!O$37</f>
        <v>0</v>
      </c>
      <c r="L317" s="0" t="n">
        <f aca="false">Scenario_Inputs!P$37</f>
        <v>0</v>
      </c>
      <c r="M317" s="0" t="n">
        <f aca="false">Scenario_Inputs!Q$37</f>
        <v>0</v>
      </c>
      <c r="N317" s="0" t="n">
        <f aca="false">Scenario_Inputs!R$37</f>
        <v>0</v>
      </c>
      <c r="O317" s="0" t="n">
        <f aca="false">SUM(C317:N317)</f>
        <v>15000</v>
      </c>
    </row>
    <row r="318" customFormat="false" ht="15" hidden="false" customHeight="false" outlineLevel="0" collapsed="false">
      <c r="A318" s="0" t="s">
        <v>226</v>
      </c>
      <c r="C318" s="0" t="n">
        <f aca="false">C315-C316-C317</f>
        <v>-32500</v>
      </c>
      <c r="D318" s="0" t="n">
        <f aca="false">D315-D316-D317</f>
        <v>-27082.13</v>
      </c>
      <c r="E318" s="0" t="n">
        <f aca="false">E315-E316-E317</f>
        <v>-20689.0434</v>
      </c>
      <c r="F318" s="0" t="n">
        <f aca="false">F315-F316-F317</f>
        <v>-13320.7402</v>
      </c>
      <c r="G318" s="0" t="n">
        <f aca="false">G315-G316-G317</f>
        <v>-38658.03616</v>
      </c>
      <c r="H318" s="0" t="n">
        <f aca="false">H315-H316-H317</f>
        <v>-20320.62824</v>
      </c>
      <c r="I318" s="0" t="n">
        <f aca="false">I315-I316-I317</f>
        <v>1849.29579999998</v>
      </c>
      <c r="J318" s="0" t="n">
        <f aca="false">J315-J316-J317</f>
        <v>11168.0322</v>
      </c>
      <c r="K318" s="0" t="n">
        <f aca="false">K315-K316-K317</f>
        <v>16044.1152</v>
      </c>
      <c r="L318" s="0" t="n">
        <f aca="false">L315-L316-L317</f>
        <v>20920.1982</v>
      </c>
      <c r="M318" s="0" t="n">
        <f aca="false">M315-M316-M317</f>
        <v>31214.1512</v>
      </c>
      <c r="N318" s="0" t="n">
        <f aca="false">N315-N316-N317</f>
        <v>37065.4508</v>
      </c>
      <c r="O318" s="0" t="n">
        <f aca="false">SUM(C318:N318)</f>
        <v>-34309.3346000001</v>
      </c>
    </row>
    <row r="319" customFormat="false" ht="15" hidden="false" customHeight="false" outlineLevel="0" collapsed="false">
      <c r="A319" s="0" t="s">
        <v>227</v>
      </c>
      <c r="C319" s="0" t="n">
        <f aca="false">IF(C306&gt;=Assumptions!$B$13,Assumptions!$B$12,0)</f>
        <v>0</v>
      </c>
      <c r="D319" s="0" t="n">
        <f aca="false">IF(D306&gt;=Assumptions!$B$13,Assumptions!$B$12,0)</f>
        <v>0</v>
      </c>
      <c r="E319" s="0" t="n">
        <f aca="false">IF(E306&gt;=Assumptions!$B$13,Assumptions!$B$12,0)</f>
        <v>0</v>
      </c>
      <c r="F319" s="0" t="n">
        <f aca="false">IF(F306&gt;=Assumptions!$B$13,Assumptions!$B$12,0)</f>
        <v>0</v>
      </c>
      <c r="G319" s="0" t="n">
        <f aca="false">IF(G306&gt;=Assumptions!$B$13,Assumptions!$B$12,0)</f>
        <v>0</v>
      </c>
      <c r="H319" s="0" t="n">
        <f aca="false">IF(H306&gt;=Assumptions!$B$13,Assumptions!$B$12,0)</f>
        <v>0</v>
      </c>
      <c r="I319" s="0" t="n">
        <f aca="false">IF(I306&gt;=Assumptions!$B$13,Assumptions!$B$12,0)</f>
        <v>15000</v>
      </c>
      <c r="J319" s="0" t="n">
        <f aca="false">IF(J306&gt;=Assumptions!$B$13,Assumptions!$B$12,0)</f>
        <v>15000</v>
      </c>
      <c r="K319" s="0" t="n">
        <f aca="false">IF(K306&gt;=Assumptions!$B$13,Assumptions!$B$12,0)</f>
        <v>15000</v>
      </c>
      <c r="L319" s="0" t="n">
        <f aca="false">IF(L306&gt;=Assumptions!$B$13,Assumptions!$B$12,0)</f>
        <v>15000</v>
      </c>
      <c r="M319" s="0" t="n">
        <f aca="false">IF(M306&gt;=Assumptions!$B$13,Assumptions!$B$12,0)</f>
        <v>15000</v>
      </c>
      <c r="N319" s="0" t="n">
        <f aca="false">IF(N306&gt;=Assumptions!$B$13,Assumptions!$B$12,0)</f>
        <v>15000</v>
      </c>
      <c r="O319" s="0" t="n">
        <f aca="false">SUM(C319:N319)</f>
        <v>90000</v>
      </c>
    </row>
    <row r="320" customFormat="false" ht="15" hidden="false" customHeight="false" outlineLevel="0" collapsed="false">
      <c r="A320" s="0" t="s">
        <v>228</v>
      </c>
      <c r="C320" s="0" t="n">
        <f aca="false">C318-C319</f>
        <v>-32500</v>
      </c>
      <c r="D320" s="0" t="n">
        <f aca="false">D318-D319</f>
        <v>-27082.13</v>
      </c>
      <c r="E320" s="0" t="n">
        <f aca="false">E318-E319</f>
        <v>-20689.0434</v>
      </c>
      <c r="F320" s="0" t="n">
        <f aca="false">F318-F319</f>
        <v>-13320.7402</v>
      </c>
      <c r="G320" s="0" t="n">
        <f aca="false">G318-G319</f>
        <v>-38658.03616</v>
      </c>
      <c r="H320" s="0" t="n">
        <f aca="false">H318-H319</f>
        <v>-20320.62824</v>
      </c>
      <c r="I320" s="0" t="n">
        <f aca="false">I318-I319</f>
        <v>-13150.7042</v>
      </c>
      <c r="J320" s="0" t="n">
        <f aca="false">J318-J319</f>
        <v>-3831.96780000001</v>
      </c>
      <c r="K320" s="0" t="n">
        <f aca="false">K318-K319</f>
        <v>1044.11519999997</v>
      </c>
      <c r="L320" s="0" t="n">
        <f aca="false">L318-L319</f>
        <v>5920.19819999998</v>
      </c>
      <c r="M320" s="0" t="n">
        <f aca="false">M318-M319</f>
        <v>16214.1512</v>
      </c>
      <c r="N320" s="0" t="n">
        <f aca="false">N318-N319</f>
        <v>22065.4508</v>
      </c>
      <c r="O320" s="0" t="n">
        <f aca="false">SUM(C320:N320)</f>
        <v>-124309.3346</v>
      </c>
    </row>
    <row r="321" customFormat="false" ht="15" hidden="false" customHeight="false" outlineLevel="0" collapsed="false">
      <c r="A321" s="0" t="s">
        <v>229</v>
      </c>
      <c r="C321" s="0" t="n">
        <f aca="false">Assumptions!$B$9*C312+(1-Assumptions!$B$9)*IF(C306-$Q$305&gt;=1,INDEX($C312:$N312,C306-$Q$305),0)</f>
        <v>0</v>
      </c>
      <c r="D321" s="0" t="n">
        <f aca="false">Assumptions!$B$9*D312+(1-Assumptions!$B$9)*IF(D306-$Q$305&gt;=1,INDEX($C312:$N312,D306-$Q$305),0)</f>
        <v>13359.375</v>
      </c>
      <c r="E321" s="0" t="n">
        <f aca="false">Assumptions!$B$9*E312+(1-Assumptions!$B$9)*IF(E306-$Q$305&gt;=1,INDEX($C312:$N312,E306-$Q$305),0)</f>
        <v>42482.8125</v>
      </c>
      <c r="F321" s="0" t="n">
        <f aca="false">Assumptions!$B$9*F312+(1-Assumptions!$B$9)*IF(F306-$Q$305&gt;=1,INDEX($C312:$N312,F306-$Q$305),0)</f>
        <v>76415.625</v>
      </c>
      <c r="G321" s="0" t="n">
        <f aca="false">Assumptions!$B$9*G312+(1-Assumptions!$B$9)*IF(G306-$Q$305&gt;=1,INDEX($C312:$N312,G306-$Q$305),0)</f>
        <v>69094.6875</v>
      </c>
      <c r="H321" s="0" t="n">
        <f aca="false">Assumptions!$B$9*H312+(1-Assumptions!$B$9)*IF(H306-$Q$305&gt;=1,INDEX($C312:$N312,H306-$Q$305),0)</f>
        <v>51834.375</v>
      </c>
      <c r="I321" s="0" t="n">
        <f aca="false">Assumptions!$B$9*I312+(1-Assumptions!$B$9)*IF(I306-$Q$305&gt;=1,INDEX($C312:$N312,I306-$Q$305),0)</f>
        <v>114730.3125</v>
      </c>
      <c r="J321" s="0" t="n">
        <f aca="false">Assumptions!$B$9*J312+(1-Assumptions!$B$9)*IF(J306-$Q$305&gt;=1,INDEX($C312:$N312,J306-$Q$305),0)</f>
        <v>192375</v>
      </c>
      <c r="K321" s="0" t="n">
        <f aca="false">Assumptions!$B$9*K312+(1-Assumptions!$B$9)*IF(K306-$Q$305&gt;=1,INDEX($C312:$N312,K306-$Q$305),0)</f>
        <v>227376.5625</v>
      </c>
      <c r="L321" s="0" t="n">
        <f aca="false">Assumptions!$B$9*L312+(1-Assumptions!$B$9)*IF(L306-$Q$305&gt;=1,INDEX($C312:$N312,L306-$Q$305),0)</f>
        <v>251423.4375</v>
      </c>
      <c r="M321" s="0" t="n">
        <f aca="false">Assumptions!$B$9*M312+(1-Assumptions!$B$9)*IF(M306-$Q$305&gt;=1,INDEX($C312:$N312,M306-$Q$305),0)</f>
        <v>288829.6875</v>
      </c>
      <c r="N321" s="0" t="n">
        <f aca="false">Assumptions!$B$9*N312+(1-Assumptions!$B$9)*IF(N306-$Q$305&gt;=1,INDEX($C312:$N312,N306-$Q$305),0)</f>
        <v>328640.625</v>
      </c>
      <c r="O321" s="0" t="n">
        <f aca="false">SUM(C321:N321)</f>
        <v>1656562.5</v>
      </c>
    </row>
    <row r="322" customFormat="false" ht="15" hidden="false" customHeight="false" outlineLevel="0" collapsed="false">
      <c r="A322" s="0" t="s">
        <v>230</v>
      </c>
      <c r="C322" s="0" t="n">
        <f aca="false">C313+C314+C316+C317+C319</f>
        <v>32500</v>
      </c>
      <c r="D322" s="0" t="n">
        <f aca="false">D313+D314+D316+D317+D319</f>
        <v>53800.88</v>
      </c>
      <c r="E322" s="0" t="n">
        <f aca="false">E313+E314+E316+E317+E319</f>
        <v>78935.9184</v>
      </c>
      <c r="F322" s="0" t="n">
        <f aca="false">F313+F314+F316+F317+F319</f>
        <v>107905.1152</v>
      </c>
      <c r="G322" s="0" t="n">
        <f aca="false">G313+G314+G316+G317+G319</f>
        <v>82263.03616</v>
      </c>
      <c r="H322" s="0" t="n">
        <f aca="false">H313+H314+H316+H317+H319</f>
        <v>80384.37824</v>
      </c>
      <c r="I322" s="0" t="n">
        <f aca="false">I313+I314+I316+I317+I319</f>
        <v>182547.5792</v>
      </c>
      <c r="J322" s="0" t="n">
        <f aca="false">J313+J314+J316+J317+J319</f>
        <v>219185.0928</v>
      </c>
      <c r="K322" s="0" t="n">
        <f aca="false">K313+K314+K316+K317+K319</f>
        <v>238355.8848</v>
      </c>
      <c r="L322" s="0" t="n">
        <f aca="false">L313+L314+L316+L317+L319</f>
        <v>257526.6768</v>
      </c>
      <c r="M322" s="0" t="n">
        <f aca="false">M313+M314+M316+M317+M319</f>
        <v>297998.3488</v>
      </c>
      <c r="N322" s="0" t="n">
        <f aca="false">N313+N314+N316+N317+N319</f>
        <v>321003.2992</v>
      </c>
      <c r="O322" s="0" t="n">
        <f aca="false">SUM(C322:N322)</f>
        <v>1952406.2096</v>
      </c>
    </row>
    <row r="323" customFormat="false" ht="15" hidden="false" customHeight="false" outlineLevel="0" collapsed="false">
      <c r="A323" s="0" t="s">
        <v>231</v>
      </c>
      <c r="C323" s="0" t="n">
        <f aca="false">C321-C322</f>
        <v>-32500</v>
      </c>
      <c r="D323" s="0" t="n">
        <f aca="false">D321-D322</f>
        <v>-40441.505</v>
      </c>
      <c r="E323" s="0" t="n">
        <f aca="false">E321-E322</f>
        <v>-36453.1059</v>
      </c>
      <c r="F323" s="0" t="n">
        <f aca="false">F321-F322</f>
        <v>-31489.4902</v>
      </c>
      <c r="G323" s="0" t="n">
        <f aca="false">G321-G322</f>
        <v>-13168.34866</v>
      </c>
      <c r="H323" s="0" t="n">
        <f aca="false">H321-H322</f>
        <v>-28550.00324</v>
      </c>
      <c r="I323" s="0" t="n">
        <f aca="false">I321-I322</f>
        <v>-67817.2667</v>
      </c>
      <c r="J323" s="0" t="n">
        <f aca="false">J321-J322</f>
        <v>-26810.0928</v>
      </c>
      <c r="K323" s="0" t="n">
        <f aca="false">K321-K322</f>
        <v>-10979.3223000001</v>
      </c>
      <c r="L323" s="0" t="n">
        <f aca="false">L321-L322</f>
        <v>-6103.23930000002</v>
      </c>
      <c r="M323" s="0" t="n">
        <f aca="false">M321-M322</f>
        <v>-9168.66130000004</v>
      </c>
      <c r="N323" s="0" t="n">
        <f aca="false">N321-N322</f>
        <v>7637.32579999999</v>
      </c>
      <c r="O323" s="0" t="n">
        <f aca="false">SUM(C323:N323)</f>
        <v>-295843.7096</v>
      </c>
    </row>
    <row r="324" customFormat="false" ht="15" hidden="false" customHeight="false" outlineLevel="0" collapsed="false">
      <c r="A324" s="0" t="s">
        <v>232</v>
      </c>
      <c r="C324" s="0" t="n">
        <f aca="false">Capital_Allocation!$C$20+C323</f>
        <v>202500</v>
      </c>
      <c r="D324" s="0" t="n">
        <f aca="false">C324+D323</f>
        <v>162058.495</v>
      </c>
      <c r="E324" s="0" t="n">
        <f aca="false">D324+E323</f>
        <v>125605.3891</v>
      </c>
      <c r="F324" s="0" t="n">
        <f aca="false">E324+F323</f>
        <v>94115.8989</v>
      </c>
      <c r="G324" s="0" t="n">
        <f aca="false">F324+G323</f>
        <v>80947.55024</v>
      </c>
      <c r="H324" s="0" t="n">
        <f aca="false">G324+H323</f>
        <v>52397.547</v>
      </c>
      <c r="I324" s="0" t="n">
        <f aca="false">H324+I323</f>
        <v>-15419.7197</v>
      </c>
      <c r="J324" s="0" t="n">
        <f aca="false">I324+J323</f>
        <v>-42229.8125</v>
      </c>
      <c r="K324" s="0" t="n">
        <f aca="false">J324+K323</f>
        <v>-53209.1348000001</v>
      </c>
      <c r="L324" s="0" t="n">
        <f aca="false">K324+L323</f>
        <v>-59312.3741000001</v>
      </c>
      <c r="M324" s="0" t="n">
        <f aca="false">L324+M323</f>
        <v>-68481.0354000002</v>
      </c>
      <c r="N324" s="0" t="n">
        <f aca="false">M324+N323</f>
        <v>-60843.7096000002</v>
      </c>
    </row>
    <row r="325" customFormat="false" ht="15" hidden="false" customHeight="false" outlineLevel="0" collapsed="false">
      <c r="A325" s="0" t="s">
        <v>233</v>
      </c>
      <c r="C325" s="0" t="n">
        <f aca="false">SUM($C312:C312)-SUM($C321:C321)</f>
        <v>0</v>
      </c>
      <c r="D325" s="0" t="n">
        <f aca="false">SUM($C312:D312)-SUM($C321:D321)</f>
        <v>13359.375</v>
      </c>
      <c r="E325" s="0" t="n">
        <f aca="false">SUM($C312:E312)-SUM($C321:E321)</f>
        <v>29123.4375</v>
      </c>
      <c r="F325" s="0" t="n">
        <f aca="false">SUM($C312:F312)-SUM($C321:F321)</f>
        <v>47292.1875</v>
      </c>
      <c r="G325" s="0" t="n">
        <f aca="false">SUM($C312:G312)-SUM($C321:G321)</f>
        <v>21802.5</v>
      </c>
      <c r="H325" s="0" t="n">
        <f aca="false">SUM($C312:H312)-SUM($C321:H321)</f>
        <v>30031.875</v>
      </c>
      <c r="I325" s="0" t="n">
        <f aca="false">SUM($C312:I312)-SUM($C321:I321)</f>
        <v>84698.4375</v>
      </c>
      <c r="J325" s="0" t="n">
        <f aca="false">SUM($C312:J312)-SUM($C321:J321)</f>
        <v>107676.5625</v>
      </c>
      <c r="K325" s="0" t="n">
        <f aca="false">SUM($C312:K312)-SUM($C321:K321)</f>
        <v>119700</v>
      </c>
      <c r="L325" s="0" t="n">
        <f aca="false">SUM($C312:L312)-SUM($C321:L321)</f>
        <v>131723.4375</v>
      </c>
      <c r="M325" s="0" t="n">
        <f aca="false">SUM($C312:M312)-SUM($C321:M321)</f>
        <v>157106.25</v>
      </c>
      <c r="N325" s="0" t="n">
        <f aca="false">SUM($C312:N312)-SUM($C321:N321)</f>
        <v>171534.375</v>
      </c>
    </row>
    <row r="326" customFormat="false" ht="15" hidden="false" customHeight="false" outlineLevel="0" collapsed="false">
      <c r="A326" s="0" t="s">
        <v>234</v>
      </c>
      <c r="C326" s="0" t="n">
        <f aca="false">SUM($C320:C320)</f>
        <v>-32500</v>
      </c>
      <c r="D326" s="0" t="n">
        <f aca="false">SUM($C320:D320)</f>
        <v>-59582.13</v>
      </c>
      <c r="E326" s="0" t="n">
        <f aca="false">SUM($C320:E320)</f>
        <v>-80271.1734</v>
      </c>
      <c r="F326" s="0" t="n">
        <f aca="false">SUM($C320:F320)</f>
        <v>-93591.9136</v>
      </c>
      <c r="G326" s="0" t="n">
        <f aca="false">SUM($C320:G320)</f>
        <v>-132249.94976</v>
      </c>
      <c r="H326" s="0" t="n">
        <f aca="false">SUM($C320:H320)</f>
        <v>-152570.578</v>
      </c>
      <c r="I326" s="0" t="n">
        <f aca="false">SUM($C320:I320)</f>
        <v>-165721.2822</v>
      </c>
      <c r="J326" s="0" t="n">
        <f aca="false">SUM($C320:J320)</f>
        <v>-169553.25</v>
      </c>
      <c r="K326" s="0" t="n">
        <f aca="false">SUM($C320:K320)</f>
        <v>-168509.1348</v>
      </c>
      <c r="L326" s="0" t="n">
        <f aca="false">SUM($C320:L320)</f>
        <v>-162588.9366</v>
      </c>
      <c r="M326" s="0" t="n">
        <f aca="false">SUM($C320:M320)</f>
        <v>-146374.7854</v>
      </c>
      <c r="N326" s="0" t="n">
        <f aca="false">SUM($C320:N320)</f>
        <v>-124309.3346</v>
      </c>
    </row>
    <row r="327" customFormat="false" ht="15" hidden="false" customHeight="false" outlineLevel="0" collapsed="false">
      <c r="A327" s="0" t="s">
        <v>235</v>
      </c>
      <c r="C327" s="0" t="n">
        <f aca="false">IF(C320&gt;=0,C306,99)</f>
        <v>99</v>
      </c>
      <c r="D327" s="0" t="n">
        <f aca="false">IF(D320&gt;=0,D306,99)</f>
        <v>99</v>
      </c>
      <c r="E327" s="0" t="n">
        <f aca="false">IF(E320&gt;=0,E306,99)</f>
        <v>99</v>
      </c>
      <c r="F327" s="0" t="n">
        <f aca="false">IF(F320&gt;=0,F306,99)</f>
        <v>99</v>
      </c>
      <c r="G327" s="0" t="n">
        <f aca="false">IF(G320&gt;=0,G306,99)</f>
        <v>99</v>
      </c>
      <c r="H327" s="0" t="n">
        <f aca="false">IF(H320&gt;=0,H306,99)</f>
        <v>99</v>
      </c>
      <c r="I327" s="0" t="n">
        <f aca="false">IF(I320&gt;=0,I306,99)</f>
        <v>99</v>
      </c>
      <c r="J327" s="0" t="n">
        <f aca="false">IF(J320&gt;=0,J306,99)</f>
        <v>99</v>
      </c>
      <c r="K327" s="0" t="n">
        <f aca="false">IF(K320&gt;=0,K306,99)</f>
        <v>9</v>
      </c>
      <c r="L327" s="0" t="n">
        <f aca="false">IF(L320&gt;=0,L306,99)</f>
        <v>10</v>
      </c>
      <c r="M327" s="0" t="n">
        <f aca="false">IF(M320&gt;=0,M306,99)</f>
        <v>11</v>
      </c>
      <c r="N327" s="0" t="n">
        <f aca="false">IF(N320&gt;=0,N306,99)</f>
        <v>12</v>
      </c>
    </row>
    <row r="328" customFormat="false" ht="15" hidden="false" customHeight="false" outlineLevel="0" collapsed="false">
      <c r="A328" s="0" t="s">
        <v>236</v>
      </c>
      <c r="C328" s="0" t="n">
        <f aca="false">IF(C318&gt;=0,C306,99)</f>
        <v>99</v>
      </c>
      <c r="D328" s="0" t="n">
        <f aca="false">IF(D318&gt;=0,D306,99)</f>
        <v>99</v>
      </c>
      <c r="E328" s="0" t="n">
        <f aca="false">IF(E318&gt;=0,E306,99)</f>
        <v>99</v>
      </c>
      <c r="F328" s="0" t="n">
        <f aca="false">IF(F318&gt;=0,F306,99)</f>
        <v>99</v>
      </c>
      <c r="G328" s="0" t="n">
        <f aca="false">IF(G318&gt;=0,G306,99)</f>
        <v>99</v>
      </c>
      <c r="H328" s="0" t="n">
        <f aca="false">IF(H318&gt;=0,H306,99)</f>
        <v>99</v>
      </c>
      <c r="I328" s="0" t="n">
        <f aca="false">IF(I318&gt;=0,I306,99)</f>
        <v>7</v>
      </c>
      <c r="J328" s="0" t="n">
        <f aca="false">IF(J318&gt;=0,J306,99)</f>
        <v>8</v>
      </c>
      <c r="K328" s="0" t="n">
        <f aca="false">IF(K318&gt;=0,K306,99)</f>
        <v>9</v>
      </c>
      <c r="L328" s="0" t="n">
        <f aca="false">IF(L318&gt;=0,L306,99)</f>
        <v>10</v>
      </c>
      <c r="M328" s="0" t="n">
        <f aca="false">IF(M318&gt;=0,M306,99)</f>
        <v>11</v>
      </c>
      <c r="N328" s="0" t="n">
        <f aca="false">IF(N318&gt;=0,N306,99)</f>
        <v>12</v>
      </c>
    </row>
    <row r="329" customFormat="false" ht="15" hidden="false" customHeight="false" outlineLevel="0" collapsed="false">
      <c r="A329" s="5" t="s">
        <v>237</v>
      </c>
      <c r="B329" s="3" t="n">
        <f aca="false">O312</f>
        <v>1828096.875</v>
      </c>
    </row>
    <row r="330" customFormat="false" ht="15" hidden="false" customHeight="false" outlineLevel="0" collapsed="false">
      <c r="A330" s="5" t="s">
        <v>238</v>
      </c>
      <c r="B330" s="3" t="n">
        <f aca="false">O315</f>
        <v>370690.6654</v>
      </c>
    </row>
    <row r="331" customFormat="false" ht="15" hidden="false" customHeight="false" outlineLevel="0" collapsed="false">
      <c r="A331" s="5" t="s">
        <v>239</v>
      </c>
      <c r="B331" s="3" t="n">
        <f aca="false">O320</f>
        <v>-124309.3346</v>
      </c>
    </row>
    <row r="332" customFormat="false" ht="15" hidden="false" customHeight="false" outlineLevel="0" collapsed="false">
      <c r="A332" s="5" t="s">
        <v>240</v>
      </c>
      <c r="B332" s="3" t="n">
        <f aca="false">MIN(C324:N324)</f>
        <v>-68481.0354000002</v>
      </c>
    </row>
    <row r="333" customFormat="false" ht="15" hidden="false" customHeight="false" outlineLevel="0" collapsed="false">
      <c r="A333" s="5" t="s">
        <v>241</v>
      </c>
      <c r="B333" s="3" t="n">
        <f aca="false">N324</f>
        <v>-60843.7096000002</v>
      </c>
    </row>
    <row r="334" customFormat="false" ht="15" hidden="false" customHeight="false" outlineLevel="0" collapsed="false">
      <c r="A334" s="5" t="s">
        <v>242</v>
      </c>
      <c r="B334" s="0" t="str">
        <f aca="false">IF(B332&gt;=0,"YES","NO")</f>
        <v>NO</v>
      </c>
    </row>
    <row r="335" customFormat="false" ht="15" hidden="false" customHeight="false" outlineLevel="0" collapsed="false">
      <c r="A335" s="5" t="s">
        <v>243</v>
      </c>
      <c r="B335" s="0" t="str">
        <f aca="false">IF(B332&gt;=Capital_Allocation!$C$16,"YES","NO")</f>
        <v>NO</v>
      </c>
    </row>
    <row r="336" customFormat="false" ht="15" hidden="false" customHeight="false" outlineLevel="0" collapsed="false">
      <c r="A336" s="5" t="s">
        <v>244</v>
      </c>
      <c r="B336" s="3" t="n">
        <f aca="false">IF(MIN(C328:N328)=99,"none in 12 mo",MIN(C328:N328))</f>
        <v>7</v>
      </c>
    </row>
    <row r="337" customFormat="false" ht="15" hidden="false" customHeight="false" outlineLevel="0" collapsed="false">
      <c r="A337" s="5" t="s">
        <v>245</v>
      </c>
      <c r="B337" s="3" t="n">
        <f aca="false">N320</f>
        <v>22065.4508</v>
      </c>
    </row>
    <row r="338" customFormat="false" ht="15" hidden="false" customHeight="false" outlineLevel="0" collapsed="false">
      <c r="A338" s="5" t="s">
        <v>246</v>
      </c>
      <c r="B338" s="3" t="n">
        <f aca="false">N325</f>
        <v>171534.375</v>
      </c>
    </row>
    <row r="339" customFormat="false" ht="15" hidden="false" customHeight="false" outlineLevel="0" collapsed="false">
      <c r="A339" s="5" t="s">
        <v>247</v>
      </c>
      <c r="B339" s="3" t="n">
        <f aca="false">IF(MIN(C327:N327)=99,"none in 12 mo",MIN(C327:N327))</f>
        <v>9</v>
      </c>
    </row>
    <row r="343" customFormat="false" ht="15" hidden="false" customHeight="false" outlineLevel="0" collapsed="false">
      <c r="A343" s="5" t="s">
        <v>256</v>
      </c>
      <c r="P343" s="3" t="s">
        <v>214</v>
      </c>
      <c r="Q343" s="3" t="n">
        <f aca="false">MAX(1,ROUNDUP((Assumptions!$B$10+Scenario_Inputs!$F$39)/30,0))</f>
        <v>1</v>
      </c>
    </row>
    <row r="344" customFormat="false" ht="15" hidden="false" customHeight="false" outlineLevel="0" collapsed="false">
      <c r="A344" s="0" t="s">
        <v>66</v>
      </c>
      <c r="C344" s="0" t="n">
        <v>1</v>
      </c>
      <c r="D344" s="0" t="n">
        <v>2</v>
      </c>
      <c r="E344" s="0" t="n">
        <v>3</v>
      </c>
      <c r="F344" s="0" t="n">
        <v>4</v>
      </c>
      <c r="G344" s="0" t="n">
        <v>5</v>
      </c>
      <c r="H344" s="0" t="n">
        <v>6</v>
      </c>
      <c r="I344" s="0" t="n">
        <v>7</v>
      </c>
      <c r="J344" s="0" t="n">
        <v>8</v>
      </c>
      <c r="K344" s="0" t="n">
        <v>9</v>
      </c>
      <c r="L344" s="0" t="n">
        <v>10</v>
      </c>
      <c r="M344" s="0" t="n">
        <v>11</v>
      </c>
      <c r="N344" s="0" t="n">
        <v>12</v>
      </c>
      <c r="O344" s="5" t="s">
        <v>215</v>
      </c>
    </row>
    <row r="345" customFormat="false" ht="15" hidden="false" customHeight="false" outlineLevel="0" collapsed="false">
      <c r="A345" s="0" t="s">
        <v>216</v>
      </c>
      <c r="C345" s="0" t="n">
        <f aca="false">Assumptions!B$33*Scenario_Inputs!$D$39</f>
        <v>0</v>
      </c>
      <c r="D345" s="0" t="n">
        <f aca="false">Assumptions!C$33*Scenario_Inputs!$D$39</f>
        <v>1</v>
      </c>
      <c r="E345" s="0" t="n">
        <f aca="false">Assumptions!D$33*Scenario_Inputs!$D$39</f>
        <v>2</v>
      </c>
      <c r="F345" s="0" t="n">
        <f aca="false">Assumptions!E$33*Scenario_Inputs!$D$39</f>
        <v>3</v>
      </c>
      <c r="G345" s="0" t="n">
        <f aca="false">Assumptions!F$33*Scenario_Inputs!$D$39</f>
        <v>3</v>
      </c>
      <c r="H345" s="0" t="n">
        <f aca="false">Assumptions!G$33*Scenario_Inputs!$D$39</f>
        <v>4</v>
      </c>
      <c r="I345" s="0" t="n">
        <f aca="false">Assumptions!H$33*Scenario_Inputs!$D$39</f>
        <v>4</v>
      </c>
      <c r="J345" s="0" t="n">
        <f aca="false">Assumptions!I$33*Scenario_Inputs!$D$39</f>
        <v>5</v>
      </c>
      <c r="K345" s="0" t="n">
        <f aca="false">Assumptions!J$33*Scenario_Inputs!$D$39</f>
        <v>5</v>
      </c>
      <c r="L345" s="0" t="n">
        <f aca="false">Assumptions!K$33*Scenario_Inputs!$D$39</f>
        <v>5</v>
      </c>
      <c r="M345" s="0" t="n">
        <f aca="false">Assumptions!L$33*Scenario_Inputs!$D$39</f>
        <v>6</v>
      </c>
      <c r="N345" s="0" t="n">
        <f aca="false">Assumptions!M$33*Scenario_Inputs!$D$39</f>
        <v>6</v>
      </c>
      <c r="O345" s="0" t="n">
        <f aca="false">SUM(C345:N345)</f>
        <v>44</v>
      </c>
    </row>
    <row r="346" customFormat="false" ht="15" hidden="false" customHeight="false" outlineLevel="0" collapsed="false">
      <c r="A346" s="0" t="s">
        <v>217</v>
      </c>
      <c r="C346" s="0" t="n">
        <v>0</v>
      </c>
      <c r="D346" s="0" t="n">
        <f aca="false">SUM($C345:C345)</f>
        <v>0</v>
      </c>
      <c r="E346" s="0" t="n">
        <f aca="false">SUM($C345:D345)</f>
        <v>1</v>
      </c>
      <c r="F346" s="0" t="n">
        <f aca="false">SUM($C345:E345)</f>
        <v>3</v>
      </c>
      <c r="G346" s="0" t="n">
        <f aca="false">SUM($C345:F345)</f>
        <v>6</v>
      </c>
      <c r="H346" s="0" t="n">
        <f aca="false">SUM($C345:G345)</f>
        <v>9</v>
      </c>
      <c r="I346" s="0" t="n">
        <f aca="false">SUM($C345:H345)</f>
        <v>13</v>
      </c>
      <c r="J346" s="0" t="n">
        <f aca="false">SUM($C345:I345)</f>
        <v>17</v>
      </c>
      <c r="K346" s="0" t="n">
        <f aca="false">SUM($C345:J345)</f>
        <v>22</v>
      </c>
      <c r="L346" s="0" t="n">
        <f aca="false">SUM($C345:K345)</f>
        <v>27</v>
      </c>
      <c r="M346" s="0" t="n">
        <f aca="false">SUM($C345:L345)</f>
        <v>32</v>
      </c>
      <c r="N346" s="0" t="n">
        <f aca="false">SUM($C345:M345)</f>
        <v>38</v>
      </c>
    </row>
    <row r="347" customFormat="false" ht="15" hidden="false" customHeight="false" outlineLevel="0" collapsed="false">
      <c r="A347" s="0" t="s">
        <v>218</v>
      </c>
      <c r="C347" s="0" t="n">
        <f aca="false">C346*Assumptions!$B$11*Scenario_Inputs!$E$39</f>
        <v>0</v>
      </c>
      <c r="D347" s="0" t="n">
        <f aca="false">D346*Assumptions!$B$11*Scenario_Inputs!$E$39</f>
        <v>0</v>
      </c>
      <c r="E347" s="0" t="n">
        <f aca="false">E346*Assumptions!$B$11*Scenario_Inputs!$E$39</f>
        <v>0.09</v>
      </c>
      <c r="F347" s="0" t="n">
        <f aca="false">F346*Assumptions!$B$11*Scenario_Inputs!$E$39</f>
        <v>0.27</v>
      </c>
      <c r="G347" s="0" t="n">
        <f aca="false">G346*Assumptions!$B$11*Scenario_Inputs!$E$39</f>
        <v>0.54</v>
      </c>
      <c r="H347" s="0" t="n">
        <f aca="false">H346*Assumptions!$B$11*Scenario_Inputs!$E$39</f>
        <v>0.81</v>
      </c>
      <c r="I347" s="0" t="n">
        <f aca="false">I346*Assumptions!$B$11*Scenario_Inputs!$E$39</f>
        <v>1.17</v>
      </c>
      <c r="J347" s="0" t="n">
        <f aca="false">J346*Assumptions!$B$11*Scenario_Inputs!$E$39</f>
        <v>1.53</v>
      </c>
      <c r="K347" s="0" t="n">
        <f aca="false">K346*Assumptions!$B$11*Scenario_Inputs!$E$39</f>
        <v>1.98</v>
      </c>
      <c r="L347" s="0" t="n">
        <f aca="false">L346*Assumptions!$B$11*Scenario_Inputs!$E$39</f>
        <v>2.43</v>
      </c>
      <c r="M347" s="0" t="n">
        <f aca="false">M346*Assumptions!$B$11*Scenario_Inputs!$E$39</f>
        <v>2.88</v>
      </c>
      <c r="N347" s="0" t="n">
        <f aca="false">N346*Assumptions!$B$11*Scenario_Inputs!$E$39</f>
        <v>3.42</v>
      </c>
      <c r="O347" s="0" t="n">
        <f aca="false">SUM(C347:N347)</f>
        <v>15.12</v>
      </c>
    </row>
    <row r="348" customFormat="false" ht="15" hidden="false" customHeight="false" outlineLevel="0" collapsed="false">
      <c r="A348" s="0" t="s">
        <v>219</v>
      </c>
      <c r="C348" s="0" t="n">
        <f aca="false">C345+C347</f>
        <v>0</v>
      </c>
      <c r="D348" s="0" t="n">
        <f aca="false">D345+D347</f>
        <v>1</v>
      </c>
      <c r="E348" s="0" t="n">
        <f aca="false">E345+E347</f>
        <v>2.09</v>
      </c>
      <c r="F348" s="0" t="n">
        <f aca="false">F345+F347</f>
        <v>3.27</v>
      </c>
      <c r="G348" s="0" t="n">
        <f aca="false">G345+G347</f>
        <v>3.54</v>
      </c>
      <c r="H348" s="0" t="n">
        <f aca="false">H345+H347</f>
        <v>4.81</v>
      </c>
      <c r="I348" s="0" t="n">
        <f aca="false">I345+I347</f>
        <v>5.17</v>
      </c>
      <c r="J348" s="0" t="n">
        <f aca="false">J345+J347</f>
        <v>6.53</v>
      </c>
      <c r="K348" s="0" t="n">
        <f aca="false">K345+K347</f>
        <v>6.98</v>
      </c>
      <c r="L348" s="0" t="n">
        <f aca="false">L345+L347</f>
        <v>7.43</v>
      </c>
      <c r="M348" s="0" t="n">
        <f aca="false">M345+M347</f>
        <v>8.88</v>
      </c>
      <c r="N348" s="0" t="n">
        <f aca="false">N345+N347</f>
        <v>9.42</v>
      </c>
      <c r="O348" s="0" t="n">
        <f aca="false">SUM(C348:N348)</f>
        <v>59.12</v>
      </c>
    </row>
    <row r="349" customFormat="false" ht="15" hidden="false" customHeight="false" outlineLevel="0" collapsed="false">
      <c r="A349" s="0" t="s">
        <v>220</v>
      </c>
      <c r="C349" s="0" t="n">
        <f aca="false">C348*Assumptions!$B$5*Scenario_Inputs!G$40</f>
        <v>0</v>
      </c>
      <c r="D349" s="0" t="n">
        <f aca="false">D348*Assumptions!$B$5*Scenario_Inputs!H$40</f>
        <v>26718.75</v>
      </c>
      <c r="E349" s="0" t="n">
        <f aca="false">E348*Assumptions!$B$5*Scenario_Inputs!I$40</f>
        <v>55842.1875</v>
      </c>
      <c r="F349" s="0" t="n">
        <f aca="false">F348*Assumptions!$B$5*Scenario_Inputs!J$40</f>
        <v>87370.3125</v>
      </c>
      <c r="G349" s="0" t="n">
        <f aca="false">G348*Assumptions!$B$5*Scenario_Inputs!K$40</f>
        <v>94584.375</v>
      </c>
      <c r="H349" s="0" t="n">
        <f aca="false">H348*Assumptions!$B$5*Scenario_Inputs!L$40</f>
        <v>128517.1875</v>
      </c>
      <c r="I349" s="0" t="n">
        <f aca="false">I348*Assumptions!$B$5*Scenario_Inputs!M$40</f>
        <v>138135.9375</v>
      </c>
      <c r="J349" s="0" t="n">
        <f aca="false">J348*Assumptions!$B$5*Scenario_Inputs!N$40</f>
        <v>174473.4375</v>
      </c>
      <c r="K349" s="0" t="n">
        <f aca="false">K348*Assumptions!$B$5*Scenario_Inputs!O$40</f>
        <v>186496.875</v>
      </c>
      <c r="L349" s="0" t="n">
        <f aca="false">L348*Assumptions!$B$5*Scenario_Inputs!P$40</f>
        <v>198520.3125</v>
      </c>
      <c r="M349" s="0" t="n">
        <f aca="false">M348*Assumptions!$B$5*Scenario_Inputs!Q$40</f>
        <v>237262.5</v>
      </c>
      <c r="N349" s="0" t="n">
        <f aca="false">N348*Assumptions!$B$5*Scenario_Inputs!R$40</f>
        <v>251690.625</v>
      </c>
      <c r="O349" s="0" t="n">
        <f aca="false">SUM(C349:N349)</f>
        <v>1579612.5</v>
      </c>
    </row>
    <row r="350" customFormat="false" ht="15" hidden="false" customHeight="false" outlineLevel="0" collapsed="false">
      <c r="A350" s="0" t="s">
        <v>221</v>
      </c>
      <c r="C350" s="0" t="n">
        <f aca="false">C349*Scenario_Inputs!$B$39</f>
        <v>0</v>
      </c>
      <c r="D350" s="0" t="n">
        <f aca="false">D349*Scenario_Inputs!$B$39</f>
        <v>26718.75</v>
      </c>
      <c r="E350" s="0" t="n">
        <f aca="false">E349*Scenario_Inputs!$B$39</f>
        <v>55842.1875</v>
      </c>
      <c r="F350" s="0" t="n">
        <f aca="false">F349*Scenario_Inputs!$B$39</f>
        <v>87370.3125</v>
      </c>
      <c r="G350" s="0" t="n">
        <f aca="false">G349*Scenario_Inputs!$B$39</f>
        <v>94584.375</v>
      </c>
      <c r="H350" s="0" t="n">
        <f aca="false">H349*Scenario_Inputs!$B$39</f>
        <v>128517.1875</v>
      </c>
      <c r="I350" s="0" t="n">
        <f aca="false">I349*Scenario_Inputs!$B$39</f>
        <v>138135.9375</v>
      </c>
      <c r="J350" s="0" t="n">
        <f aca="false">J349*Scenario_Inputs!$B$39</f>
        <v>174473.4375</v>
      </c>
      <c r="K350" s="0" t="n">
        <f aca="false">K349*Scenario_Inputs!$B$39</f>
        <v>186496.875</v>
      </c>
      <c r="L350" s="0" t="n">
        <f aca="false">L349*Scenario_Inputs!$B$39</f>
        <v>198520.3125</v>
      </c>
      <c r="M350" s="0" t="n">
        <f aca="false">M349*Scenario_Inputs!$B$39</f>
        <v>237262.5</v>
      </c>
      <c r="N350" s="0" t="n">
        <f aca="false">N349*Scenario_Inputs!$B$39</f>
        <v>251690.625</v>
      </c>
      <c r="O350" s="0" t="n">
        <f aca="false">SUM(C350:N350)</f>
        <v>1579612.5</v>
      </c>
    </row>
    <row r="351" customFormat="false" ht="15" hidden="false" customHeight="false" outlineLevel="0" collapsed="false">
      <c r="A351" s="0" t="s">
        <v>222</v>
      </c>
      <c r="C351" s="0" t="n">
        <f aca="false">C349*(1-Assumptions!$B$6)*Scenario_Inputs!$C$39*(1+(1-Assumptions!$B$26)*Assumptions!$B$21*Assumptions!$B$27)</f>
        <v>0</v>
      </c>
      <c r="D351" s="0" t="n">
        <f aca="false">D349*(1-Assumptions!$B$6)*Scenario_Inputs!$C$39*(1+(1-Assumptions!$B$26)*Assumptions!$B$21*Assumptions!$B$27)</f>
        <v>19697.755</v>
      </c>
      <c r="E351" s="0" t="n">
        <f aca="false">E349*(1-Assumptions!$B$6)*Scenario_Inputs!$C$39*(1+(1-Assumptions!$B$26)*Assumptions!$B$21*Assumptions!$B$27)</f>
        <v>41168.30795</v>
      </c>
      <c r="F351" s="0" t="n">
        <f aca="false">F349*(1-Assumptions!$B$6)*Scenario_Inputs!$C$39*(1+(1-Assumptions!$B$26)*Assumptions!$B$21*Assumptions!$B$27)</f>
        <v>64411.65885</v>
      </c>
      <c r="G351" s="0" t="n">
        <f aca="false">G349*(1-Assumptions!$B$6)*Scenario_Inputs!$C$39*(1+(1-Assumptions!$B$26)*Assumptions!$B$21*Assumptions!$B$27)</f>
        <v>69730.0527</v>
      </c>
      <c r="H351" s="0" t="n">
        <f aca="false">H349*(1-Assumptions!$B$6)*Scenario_Inputs!$C$39*(1+(1-Assumptions!$B$26)*Assumptions!$B$21*Assumptions!$B$27)</f>
        <v>94746.20155</v>
      </c>
      <c r="I351" s="0" t="n">
        <f aca="false">I349*(1-Assumptions!$B$6)*Scenario_Inputs!$C$39*(1+(1-Assumptions!$B$26)*Assumptions!$B$21*Assumptions!$B$27)</f>
        <v>101837.39335</v>
      </c>
      <c r="J351" s="0" t="n">
        <f aca="false">J349*(1-Assumptions!$B$6)*Scenario_Inputs!$C$39*(1+(1-Assumptions!$B$26)*Assumptions!$B$21*Assumptions!$B$27)</f>
        <v>128626.34015</v>
      </c>
      <c r="K351" s="0" t="n">
        <f aca="false">K349*(1-Assumptions!$B$6)*Scenario_Inputs!$C$39*(1+(1-Assumptions!$B$26)*Assumptions!$B$21*Assumptions!$B$27)</f>
        <v>137490.3299</v>
      </c>
      <c r="L351" s="0" t="n">
        <f aca="false">L349*(1-Assumptions!$B$6)*Scenario_Inputs!$C$39*(1+(1-Assumptions!$B$26)*Assumptions!$B$21*Assumptions!$B$27)</f>
        <v>146354.31965</v>
      </c>
      <c r="M351" s="0" t="n">
        <f aca="false">M349*(1-Assumptions!$B$6)*Scenario_Inputs!$C$39*(1+(1-Assumptions!$B$26)*Assumptions!$B$21*Assumptions!$B$27)</f>
        <v>174916.0644</v>
      </c>
      <c r="N351" s="0" t="n">
        <f aca="false">N349*(1-Assumptions!$B$6)*Scenario_Inputs!$C$39*(1+(1-Assumptions!$B$26)*Assumptions!$B$21*Assumptions!$B$27)</f>
        <v>185552.8521</v>
      </c>
      <c r="O351" s="0" t="n">
        <f aca="false">SUM(C351:N351)</f>
        <v>1164531.2756</v>
      </c>
    </row>
    <row r="352" customFormat="false" ht="15" hidden="false" customHeight="false" outlineLevel="0" collapsed="false">
      <c r="A352" s="0" t="s">
        <v>223</v>
      </c>
      <c r="C352" s="0" t="n">
        <f aca="false">C350*(Assumptions!$B$7+Assumptions!$B$8)</f>
        <v>0</v>
      </c>
      <c r="D352" s="0" t="n">
        <f aca="false">D350*(Assumptions!$B$7+Assumptions!$B$8)</f>
        <v>1603.125</v>
      </c>
      <c r="E352" s="0" t="n">
        <f aca="false">E350*(Assumptions!$B$7+Assumptions!$B$8)</f>
        <v>3350.53125</v>
      </c>
      <c r="F352" s="0" t="n">
        <f aca="false">F350*(Assumptions!$B$7+Assumptions!$B$8)</f>
        <v>5242.21875</v>
      </c>
      <c r="G352" s="0" t="n">
        <f aca="false">G350*(Assumptions!$B$7+Assumptions!$B$8)</f>
        <v>5675.0625</v>
      </c>
      <c r="H352" s="0" t="n">
        <f aca="false">H350*(Assumptions!$B$7+Assumptions!$B$8)</f>
        <v>7711.03125</v>
      </c>
      <c r="I352" s="0" t="n">
        <f aca="false">I350*(Assumptions!$B$7+Assumptions!$B$8)</f>
        <v>8288.15625</v>
      </c>
      <c r="J352" s="0" t="n">
        <f aca="false">J350*(Assumptions!$B$7+Assumptions!$B$8)</f>
        <v>10468.40625</v>
      </c>
      <c r="K352" s="0" t="n">
        <f aca="false">K350*(Assumptions!$B$7+Assumptions!$B$8)</f>
        <v>11189.8125</v>
      </c>
      <c r="L352" s="0" t="n">
        <f aca="false">L350*(Assumptions!$B$7+Assumptions!$B$8)</f>
        <v>11911.21875</v>
      </c>
      <c r="M352" s="0" t="n">
        <f aca="false">M350*(Assumptions!$B$7+Assumptions!$B$8)</f>
        <v>14235.75</v>
      </c>
      <c r="N352" s="0" t="n">
        <f aca="false">N350*(Assumptions!$B$7+Assumptions!$B$8)</f>
        <v>15101.4375</v>
      </c>
      <c r="O352" s="0" t="n">
        <f aca="false">SUM(C352:N352)</f>
        <v>94776.75</v>
      </c>
    </row>
    <row r="353" customFormat="false" ht="15" hidden="false" customHeight="false" outlineLevel="0" collapsed="false">
      <c r="A353" s="0" t="s">
        <v>198</v>
      </c>
      <c r="C353" s="0" t="n">
        <f aca="false">C350-C351-C352</f>
        <v>0</v>
      </c>
      <c r="D353" s="0" t="n">
        <f aca="false">D350-D351-D352</f>
        <v>5417.87</v>
      </c>
      <c r="E353" s="0" t="n">
        <f aca="false">E350-E351-E352</f>
        <v>11323.3483</v>
      </c>
      <c r="F353" s="0" t="n">
        <f aca="false">F350-F351-F352</f>
        <v>17716.4349</v>
      </c>
      <c r="G353" s="0" t="n">
        <f aca="false">G350-G351-G352</f>
        <v>19179.2598</v>
      </c>
      <c r="H353" s="0" t="n">
        <f aca="false">H350-H351-H352</f>
        <v>26059.9547</v>
      </c>
      <c r="I353" s="0" t="n">
        <f aca="false">I350-I351-I352</f>
        <v>28010.3879</v>
      </c>
      <c r="J353" s="0" t="n">
        <f aca="false">J350-J351-J352</f>
        <v>35378.6911</v>
      </c>
      <c r="K353" s="0" t="n">
        <f aca="false">K350-K351-K352</f>
        <v>37816.7326</v>
      </c>
      <c r="L353" s="0" t="n">
        <f aca="false">L350-L351-L352</f>
        <v>40254.7741</v>
      </c>
      <c r="M353" s="0" t="n">
        <f aca="false">M350-M351-M352</f>
        <v>48110.6856</v>
      </c>
      <c r="N353" s="0" t="n">
        <f aca="false">N350-N351-N352</f>
        <v>51036.3354</v>
      </c>
      <c r="O353" s="0" t="n">
        <f aca="false">SUM(C353:N353)</f>
        <v>320304.4744</v>
      </c>
    </row>
    <row r="354" customFormat="false" ht="15" hidden="false" customHeight="false" outlineLevel="0" collapsed="false">
      <c r="A354" s="0" t="s">
        <v>224</v>
      </c>
      <c r="C354" s="0" t="n">
        <f aca="false">Assumptions!$B$29</f>
        <v>32500</v>
      </c>
      <c r="D354" s="0" t="n">
        <f aca="false">Assumptions!$B$29</f>
        <v>32500</v>
      </c>
      <c r="E354" s="0" t="n">
        <f aca="false">Assumptions!$B$29</f>
        <v>32500</v>
      </c>
      <c r="F354" s="0" t="n">
        <f aca="false">Assumptions!$B$29</f>
        <v>32500</v>
      </c>
      <c r="G354" s="0" t="n">
        <f aca="false">Assumptions!$B$29</f>
        <v>32500</v>
      </c>
      <c r="H354" s="0" t="n">
        <f aca="false">Assumptions!$B$29</f>
        <v>32500</v>
      </c>
      <c r="I354" s="0" t="n">
        <f aca="false">Assumptions!$B$29</f>
        <v>32500</v>
      </c>
      <c r="J354" s="0" t="n">
        <f aca="false">Assumptions!$B$29</f>
        <v>32500</v>
      </c>
      <c r="K354" s="0" t="n">
        <f aca="false">Assumptions!$B$29</f>
        <v>32500</v>
      </c>
      <c r="L354" s="0" t="n">
        <f aca="false">Assumptions!$B$29</f>
        <v>32500</v>
      </c>
      <c r="M354" s="0" t="n">
        <f aca="false">Assumptions!$B$29</f>
        <v>32500</v>
      </c>
      <c r="N354" s="0" t="n">
        <f aca="false">Assumptions!$B$29</f>
        <v>32500</v>
      </c>
      <c r="O354" s="0" t="n">
        <f aca="false">SUM(C354:N354)</f>
        <v>390000</v>
      </c>
    </row>
    <row r="355" customFormat="false" ht="15" hidden="false" customHeight="false" outlineLevel="0" collapsed="false">
      <c r="A355" s="0" t="s">
        <v>225</v>
      </c>
      <c r="C355" s="0" t="n">
        <f aca="false">Scenario_Inputs!G$41</f>
        <v>0</v>
      </c>
      <c r="D355" s="0" t="n">
        <f aca="false">Scenario_Inputs!H$41</f>
        <v>0</v>
      </c>
      <c r="E355" s="0" t="n">
        <f aca="false">Scenario_Inputs!I$41</f>
        <v>0</v>
      </c>
      <c r="F355" s="0" t="n">
        <f aca="false">Scenario_Inputs!J$41</f>
        <v>0</v>
      </c>
      <c r="G355" s="0" t="n">
        <f aca="false">Scenario_Inputs!K$41</f>
        <v>0</v>
      </c>
      <c r="H355" s="0" t="n">
        <f aca="false">Scenario_Inputs!L$41</f>
        <v>0</v>
      </c>
      <c r="I355" s="0" t="n">
        <f aca="false">Scenario_Inputs!M$41</f>
        <v>0</v>
      </c>
      <c r="J355" s="0" t="n">
        <f aca="false">Scenario_Inputs!N$41</f>
        <v>0</v>
      </c>
      <c r="K355" s="0" t="n">
        <f aca="false">Scenario_Inputs!O$41</f>
        <v>0</v>
      </c>
      <c r="L355" s="0" t="n">
        <f aca="false">Scenario_Inputs!P$41</f>
        <v>0</v>
      </c>
      <c r="M355" s="0" t="n">
        <f aca="false">Scenario_Inputs!Q$41</f>
        <v>0</v>
      </c>
      <c r="N355" s="0" t="n">
        <f aca="false">Scenario_Inputs!R$41</f>
        <v>0</v>
      </c>
      <c r="O355" s="0" t="n">
        <f aca="false">SUM(C355:N355)</f>
        <v>0</v>
      </c>
    </row>
    <row r="356" customFormat="false" ht="15" hidden="false" customHeight="false" outlineLevel="0" collapsed="false">
      <c r="A356" s="0" t="s">
        <v>226</v>
      </c>
      <c r="C356" s="0" t="n">
        <f aca="false">C353-C354-C355</f>
        <v>-32500</v>
      </c>
      <c r="D356" s="0" t="n">
        <f aca="false">D353-D354-D355</f>
        <v>-27082.13</v>
      </c>
      <c r="E356" s="0" t="n">
        <f aca="false">E353-E354-E355</f>
        <v>-21176.6517</v>
      </c>
      <c r="F356" s="0" t="n">
        <f aca="false">F353-F354-F355</f>
        <v>-14783.5651</v>
      </c>
      <c r="G356" s="0" t="n">
        <f aca="false">G353-G354-G355</f>
        <v>-13320.7402</v>
      </c>
      <c r="H356" s="0" t="n">
        <f aca="false">H353-H354-H355</f>
        <v>-6440.04530000001</v>
      </c>
      <c r="I356" s="0" t="n">
        <f aca="false">I353-I354-I355</f>
        <v>-4489.6121</v>
      </c>
      <c r="J356" s="0" t="n">
        <f aca="false">J353-J354-J355</f>
        <v>2878.69109999998</v>
      </c>
      <c r="K356" s="0" t="n">
        <f aca="false">K353-K354-K355</f>
        <v>5316.73259999999</v>
      </c>
      <c r="L356" s="0" t="n">
        <f aca="false">L353-L354-L355</f>
        <v>7754.77409999998</v>
      </c>
      <c r="M356" s="0" t="n">
        <f aca="false">M353-M354-M355</f>
        <v>15610.6856</v>
      </c>
      <c r="N356" s="0" t="n">
        <f aca="false">N353-N354-N355</f>
        <v>18536.3354</v>
      </c>
      <c r="O356" s="0" t="n">
        <f aca="false">SUM(C356:N356)</f>
        <v>-69695.5256000001</v>
      </c>
    </row>
    <row r="357" customFormat="false" ht="15" hidden="false" customHeight="false" outlineLevel="0" collapsed="false">
      <c r="A357" s="0" t="s">
        <v>227</v>
      </c>
      <c r="C357" s="0" t="n">
        <f aca="false">IF(C344&gt;=Assumptions!$B$13,Assumptions!$B$12,0)</f>
        <v>0</v>
      </c>
      <c r="D357" s="0" t="n">
        <f aca="false">IF(D344&gt;=Assumptions!$B$13,Assumptions!$B$12,0)</f>
        <v>0</v>
      </c>
      <c r="E357" s="0" t="n">
        <f aca="false">IF(E344&gt;=Assumptions!$B$13,Assumptions!$B$12,0)</f>
        <v>0</v>
      </c>
      <c r="F357" s="0" t="n">
        <f aca="false">IF(F344&gt;=Assumptions!$B$13,Assumptions!$B$12,0)</f>
        <v>0</v>
      </c>
      <c r="G357" s="0" t="n">
        <f aca="false">IF(G344&gt;=Assumptions!$B$13,Assumptions!$B$12,0)</f>
        <v>0</v>
      </c>
      <c r="H357" s="0" t="n">
        <f aca="false">IF(H344&gt;=Assumptions!$B$13,Assumptions!$B$12,0)</f>
        <v>0</v>
      </c>
      <c r="I357" s="0" t="n">
        <f aca="false">IF(I344&gt;=Assumptions!$B$13,Assumptions!$B$12,0)</f>
        <v>15000</v>
      </c>
      <c r="J357" s="0" t="n">
        <f aca="false">IF(J344&gt;=Assumptions!$B$13,Assumptions!$B$12,0)</f>
        <v>15000</v>
      </c>
      <c r="K357" s="0" t="n">
        <f aca="false">IF(K344&gt;=Assumptions!$B$13,Assumptions!$B$12,0)</f>
        <v>15000</v>
      </c>
      <c r="L357" s="0" t="n">
        <f aca="false">IF(L344&gt;=Assumptions!$B$13,Assumptions!$B$12,0)</f>
        <v>15000</v>
      </c>
      <c r="M357" s="0" t="n">
        <f aca="false">IF(M344&gt;=Assumptions!$B$13,Assumptions!$B$12,0)</f>
        <v>15000</v>
      </c>
      <c r="N357" s="0" t="n">
        <f aca="false">IF(N344&gt;=Assumptions!$B$13,Assumptions!$B$12,0)</f>
        <v>15000</v>
      </c>
      <c r="O357" s="0" t="n">
        <f aca="false">SUM(C357:N357)</f>
        <v>90000</v>
      </c>
    </row>
    <row r="358" customFormat="false" ht="15" hidden="false" customHeight="false" outlineLevel="0" collapsed="false">
      <c r="A358" s="0" t="s">
        <v>228</v>
      </c>
      <c r="C358" s="0" t="n">
        <f aca="false">C356-C357</f>
        <v>-32500</v>
      </c>
      <c r="D358" s="0" t="n">
        <f aca="false">D356-D357</f>
        <v>-27082.13</v>
      </c>
      <c r="E358" s="0" t="n">
        <f aca="false">E356-E357</f>
        <v>-21176.6517</v>
      </c>
      <c r="F358" s="0" t="n">
        <f aca="false">F356-F357</f>
        <v>-14783.5651</v>
      </c>
      <c r="G358" s="0" t="n">
        <f aca="false">G356-G357</f>
        <v>-13320.7402</v>
      </c>
      <c r="H358" s="0" t="n">
        <f aca="false">H356-H357</f>
        <v>-6440.04530000001</v>
      </c>
      <c r="I358" s="0" t="n">
        <f aca="false">I356-I357</f>
        <v>-19489.6121</v>
      </c>
      <c r="J358" s="0" t="n">
        <f aca="false">J356-J357</f>
        <v>-12121.3089</v>
      </c>
      <c r="K358" s="0" t="n">
        <f aca="false">K356-K357</f>
        <v>-9683.26740000001</v>
      </c>
      <c r="L358" s="0" t="n">
        <f aca="false">L356-L357</f>
        <v>-7245.22590000002</v>
      </c>
      <c r="M358" s="0" t="n">
        <f aca="false">M356-M357</f>
        <v>610.685599999968</v>
      </c>
      <c r="N358" s="0" t="n">
        <f aca="false">N356-N357</f>
        <v>3536.33539999998</v>
      </c>
      <c r="O358" s="0" t="n">
        <f aca="false">SUM(C358:N358)</f>
        <v>-159695.5256</v>
      </c>
    </row>
    <row r="359" customFormat="false" ht="15" hidden="false" customHeight="false" outlineLevel="0" collapsed="false">
      <c r="A359" s="0" t="s">
        <v>229</v>
      </c>
      <c r="C359" s="0" t="n">
        <f aca="false">Assumptions!$B$9*C350+(1-Assumptions!$B$9)*IF(C344-$Q$343&gt;=1,INDEX($C350:$N350,C344-$Q$343),0)</f>
        <v>0</v>
      </c>
      <c r="D359" s="0" t="n">
        <f aca="false">Assumptions!$B$9*D350+(1-Assumptions!$B$9)*IF(D344-$Q$343&gt;=1,INDEX($C350:$N350,D344-$Q$343),0)</f>
        <v>13359.375</v>
      </c>
      <c r="E359" s="0" t="n">
        <f aca="false">Assumptions!$B$9*E350+(1-Assumptions!$B$9)*IF(E344-$Q$343&gt;=1,INDEX($C350:$N350,E344-$Q$343),0)</f>
        <v>41280.46875</v>
      </c>
      <c r="F359" s="0" t="n">
        <f aca="false">Assumptions!$B$9*F350+(1-Assumptions!$B$9)*IF(F344-$Q$343&gt;=1,INDEX($C350:$N350,F344-$Q$343),0)</f>
        <v>71606.25</v>
      </c>
      <c r="G359" s="0" t="n">
        <f aca="false">Assumptions!$B$9*G350+(1-Assumptions!$B$9)*IF(G344-$Q$343&gt;=1,INDEX($C350:$N350,G344-$Q$343),0)</f>
        <v>90977.34375</v>
      </c>
      <c r="H359" s="0" t="n">
        <f aca="false">Assumptions!$B$9*H350+(1-Assumptions!$B$9)*IF(H344-$Q$343&gt;=1,INDEX($C350:$N350,H344-$Q$343),0)</f>
        <v>111550.78125</v>
      </c>
      <c r="I359" s="0" t="n">
        <f aca="false">Assumptions!$B$9*I350+(1-Assumptions!$B$9)*IF(I344-$Q$343&gt;=1,INDEX($C350:$N350,I344-$Q$343),0)</f>
        <v>133326.5625</v>
      </c>
      <c r="J359" s="0" t="n">
        <f aca="false">Assumptions!$B$9*J350+(1-Assumptions!$B$9)*IF(J344-$Q$343&gt;=1,INDEX($C350:$N350,J344-$Q$343),0)</f>
        <v>156304.6875</v>
      </c>
      <c r="K359" s="0" t="n">
        <f aca="false">Assumptions!$B$9*K350+(1-Assumptions!$B$9)*IF(K344-$Q$343&gt;=1,INDEX($C350:$N350,K344-$Q$343),0)</f>
        <v>180485.15625</v>
      </c>
      <c r="L359" s="0" t="n">
        <f aca="false">Assumptions!$B$9*L350+(1-Assumptions!$B$9)*IF(L344-$Q$343&gt;=1,INDEX($C350:$N350,L344-$Q$343),0)</f>
        <v>192508.59375</v>
      </c>
      <c r="M359" s="0" t="n">
        <f aca="false">Assumptions!$B$9*M350+(1-Assumptions!$B$9)*IF(M344-$Q$343&gt;=1,INDEX($C350:$N350,M344-$Q$343),0)</f>
        <v>217891.40625</v>
      </c>
      <c r="N359" s="0" t="n">
        <f aca="false">Assumptions!$B$9*N350+(1-Assumptions!$B$9)*IF(N344-$Q$343&gt;=1,INDEX($C350:$N350,N344-$Q$343),0)</f>
        <v>244476.5625</v>
      </c>
      <c r="O359" s="0" t="n">
        <f aca="false">SUM(C359:N359)</f>
        <v>1453767.1875</v>
      </c>
    </row>
    <row r="360" customFormat="false" ht="15" hidden="false" customHeight="false" outlineLevel="0" collapsed="false">
      <c r="A360" s="0" t="s">
        <v>230</v>
      </c>
      <c r="C360" s="0" t="n">
        <f aca="false">C351+C352+C354+C355+C357</f>
        <v>32500</v>
      </c>
      <c r="D360" s="0" t="n">
        <f aca="false">D351+D352+D354+D355+D357</f>
        <v>53800.88</v>
      </c>
      <c r="E360" s="0" t="n">
        <f aca="false">E351+E352+E354+E355+E357</f>
        <v>77018.8392</v>
      </c>
      <c r="F360" s="0" t="n">
        <f aca="false">F351+F352+F354+F355+F357</f>
        <v>102153.8776</v>
      </c>
      <c r="G360" s="0" t="n">
        <f aca="false">G351+G352+G354+G355+G357</f>
        <v>107905.1152</v>
      </c>
      <c r="H360" s="0" t="n">
        <f aca="false">H351+H352+H354+H355+H357</f>
        <v>134957.2328</v>
      </c>
      <c r="I360" s="0" t="n">
        <f aca="false">I351+I352+I354+I355+I357</f>
        <v>157625.5496</v>
      </c>
      <c r="J360" s="0" t="n">
        <f aca="false">J351+J352+J354+J355+J357</f>
        <v>186594.7464</v>
      </c>
      <c r="K360" s="0" t="n">
        <f aca="false">K351+K352+K354+K355+K357</f>
        <v>196180.1424</v>
      </c>
      <c r="L360" s="0" t="n">
        <f aca="false">L351+L352+L354+L355+L357</f>
        <v>205765.5384</v>
      </c>
      <c r="M360" s="0" t="n">
        <f aca="false">M351+M352+M354+M355+M357</f>
        <v>236651.8144</v>
      </c>
      <c r="N360" s="0" t="n">
        <f aca="false">N351+N352+N354+N355+N357</f>
        <v>248154.2896</v>
      </c>
      <c r="O360" s="0" t="n">
        <f aca="false">SUM(C360:N360)</f>
        <v>1739308.0256</v>
      </c>
    </row>
    <row r="361" customFormat="false" ht="15" hidden="false" customHeight="false" outlineLevel="0" collapsed="false">
      <c r="A361" s="0" t="s">
        <v>231</v>
      </c>
      <c r="C361" s="0" t="n">
        <f aca="false">C359-C360</f>
        <v>-32500</v>
      </c>
      <c r="D361" s="0" t="n">
        <f aca="false">D359-D360</f>
        <v>-40441.505</v>
      </c>
      <c r="E361" s="0" t="n">
        <f aca="false">E359-E360</f>
        <v>-35738.37045</v>
      </c>
      <c r="F361" s="0" t="n">
        <f aca="false">F359-F360</f>
        <v>-30547.6276</v>
      </c>
      <c r="G361" s="0" t="n">
        <f aca="false">G359-G360</f>
        <v>-16927.77145</v>
      </c>
      <c r="H361" s="0" t="n">
        <f aca="false">H359-H360</f>
        <v>-23406.45155</v>
      </c>
      <c r="I361" s="0" t="n">
        <f aca="false">I359-I360</f>
        <v>-24298.9871</v>
      </c>
      <c r="J361" s="0" t="n">
        <f aca="false">J359-J360</f>
        <v>-30290.0589</v>
      </c>
      <c r="K361" s="0" t="n">
        <f aca="false">K359-K360</f>
        <v>-15694.98615</v>
      </c>
      <c r="L361" s="0" t="n">
        <f aca="false">L359-L360</f>
        <v>-13256.94465</v>
      </c>
      <c r="M361" s="0" t="n">
        <f aca="false">M359-M360</f>
        <v>-18760.40815</v>
      </c>
      <c r="N361" s="0" t="n">
        <f aca="false">N359-N360</f>
        <v>-3677.72710000002</v>
      </c>
      <c r="O361" s="0" t="n">
        <f aca="false">SUM(C361:N361)</f>
        <v>-285540.8381</v>
      </c>
    </row>
    <row r="362" customFormat="false" ht="15" hidden="false" customHeight="false" outlineLevel="0" collapsed="false">
      <c r="A362" s="0" t="s">
        <v>232</v>
      </c>
      <c r="C362" s="0" t="n">
        <f aca="false">Capital_Allocation!$C$20+C361</f>
        <v>202500</v>
      </c>
      <c r="D362" s="0" t="n">
        <f aca="false">C362+D361</f>
        <v>162058.495</v>
      </c>
      <c r="E362" s="0" t="n">
        <f aca="false">D362+E361</f>
        <v>126320.12455</v>
      </c>
      <c r="F362" s="0" t="n">
        <f aca="false">E362+F361</f>
        <v>95772.49695</v>
      </c>
      <c r="G362" s="0" t="n">
        <f aca="false">F362+G361</f>
        <v>78844.7255</v>
      </c>
      <c r="H362" s="0" t="n">
        <f aca="false">G362+H361</f>
        <v>55438.27395</v>
      </c>
      <c r="I362" s="0" t="n">
        <f aca="false">H362+I361</f>
        <v>31139.28685</v>
      </c>
      <c r="J362" s="0" t="n">
        <f aca="false">I362+J361</f>
        <v>849.22795</v>
      </c>
      <c r="K362" s="0" t="n">
        <f aca="false">J362+K361</f>
        <v>-14845.7582</v>
      </c>
      <c r="L362" s="0" t="n">
        <f aca="false">K362+L361</f>
        <v>-28102.70285</v>
      </c>
      <c r="M362" s="0" t="n">
        <f aca="false">L362+M361</f>
        <v>-46863.111</v>
      </c>
      <c r="N362" s="0" t="n">
        <f aca="false">M362+N361</f>
        <v>-50540.8381000001</v>
      </c>
    </row>
    <row r="363" customFormat="false" ht="15" hidden="false" customHeight="false" outlineLevel="0" collapsed="false">
      <c r="A363" s="0" t="s">
        <v>233</v>
      </c>
      <c r="C363" s="0" t="n">
        <f aca="false">SUM($C350:C350)-SUM($C359:C359)</f>
        <v>0</v>
      </c>
      <c r="D363" s="0" t="n">
        <f aca="false">SUM($C350:D350)-SUM($C359:D359)</f>
        <v>13359.375</v>
      </c>
      <c r="E363" s="0" t="n">
        <f aca="false">SUM($C350:E350)-SUM($C359:E359)</f>
        <v>27921.09375</v>
      </c>
      <c r="F363" s="0" t="n">
        <f aca="false">SUM($C350:F350)-SUM($C359:F359)</f>
        <v>43685.15625</v>
      </c>
      <c r="G363" s="0" t="n">
        <f aca="false">SUM($C350:G350)-SUM($C359:G359)</f>
        <v>47292.1875</v>
      </c>
      <c r="H363" s="0" t="n">
        <f aca="false">SUM($C350:H350)-SUM($C359:H359)</f>
        <v>64258.59375</v>
      </c>
      <c r="I363" s="0" t="n">
        <f aca="false">SUM($C350:I350)-SUM($C359:I359)</f>
        <v>69067.96875</v>
      </c>
      <c r="J363" s="0" t="n">
        <f aca="false">SUM($C350:J350)-SUM($C359:J359)</f>
        <v>87236.71875</v>
      </c>
      <c r="K363" s="0" t="n">
        <f aca="false">SUM($C350:K350)-SUM($C359:K359)</f>
        <v>93248.4375</v>
      </c>
      <c r="L363" s="0" t="n">
        <f aca="false">SUM($C350:L350)-SUM($C359:L359)</f>
        <v>99260.15625</v>
      </c>
      <c r="M363" s="0" t="n">
        <f aca="false">SUM($C350:M350)-SUM($C359:M359)</f>
        <v>118631.25</v>
      </c>
      <c r="N363" s="0" t="n">
        <f aca="false">SUM($C350:N350)-SUM($C359:N359)</f>
        <v>125845.3125</v>
      </c>
    </row>
    <row r="364" customFormat="false" ht="15" hidden="false" customHeight="false" outlineLevel="0" collapsed="false">
      <c r="A364" s="0" t="s">
        <v>234</v>
      </c>
      <c r="C364" s="0" t="n">
        <f aca="false">SUM($C358:C358)</f>
        <v>-32500</v>
      </c>
      <c r="D364" s="0" t="n">
        <f aca="false">SUM($C358:D358)</f>
        <v>-59582.13</v>
      </c>
      <c r="E364" s="0" t="n">
        <f aca="false">SUM($C358:E358)</f>
        <v>-80758.7817</v>
      </c>
      <c r="F364" s="0" t="n">
        <f aca="false">SUM($C358:F358)</f>
        <v>-95542.3468</v>
      </c>
      <c r="G364" s="0" t="n">
        <f aca="false">SUM($C358:G358)</f>
        <v>-108863.087</v>
      </c>
      <c r="H364" s="0" t="n">
        <f aca="false">SUM($C358:H358)</f>
        <v>-115303.1323</v>
      </c>
      <c r="I364" s="0" t="n">
        <f aca="false">SUM($C358:I358)</f>
        <v>-134792.7444</v>
      </c>
      <c r="J364" s="0" t="n">
        <f aca="false">SUM($C358:J358)</f>
        <v>-146914.0533</v>
      </c>
      <c r="K364" s="0" t="n">
        <f aca="false">SUM($C358:K358)</f>
        <v>-156597.3207</v>
      </c>
      <c r="L364" s="0" t="n">
        <f aca="false">SUM($C358:L358)</f>
        <v>-163842.5466</v>
      </c>
      <c r="M364" s="0" t="n">
        <f aca="false">SUM($C358:M358)</f>
        <v>-163231.861</v>
      </c>
      <c r="N364" s="0" t="n">
        <f aca="false">SUM($C358:N358)</f>
        <v>-159695.5256</v>
      </c>
    </row>
    <row r="365" customFormat="false" ht="15" hidden="false" customHeight="false" outlineLevel="0" collapsed="false">
      <c r="A365" s="0" t="s">
        <v>235</v>
      </c>
      <c r="C365" s="0" t="n">
        <f aca="false">IF(C358&gt;=0,C344,99)</f>
        <v>99</v>
      </c>
      <c r="D365" s="0" t="n">
        <f aca="false">IF(D358&gt;=0,D344,99)</f>
        <v>99</v>
      </c>
      <c r="E365" s="0" t="n">
        <f aca="false">IF(E358&gt;=0,E344,99)</f>
        <v>99</v>
      </c>
      <c r="F365" s="0" t="n">
        <f aca="false">IF(F358&gt;=0,F344,99)</f>
        <v>99</v>
      </c>
      <c r="G365" s="0" t="n">
        <f aca="false">IF(G358&gt;=0,G344,99)</f>
        <v>99</v>
      </c>
      <c r="H365" s="0" t="n">
        <f aca="false">IF(H358&gt;=0,H344,99)</f>
        <v>99</v>
      </c>
      <c r="I365" s="0" t="n">
        <f aca="false">IF(I358&gt;=0,I344,99)</f>
        <v>99</v>
      </c>
      <c r="J365" s="0" t="n">
        <f aca="false">IF(J358&gt;=0,J344,99)</f>
        <v>99</v>
      </c>
      <c r="K365" s="0" t="n">
        <f aca="false">IF(K358&gt;=0,K344,99)</f>
        <v>99</v>
      </c>
      <c r="L365" s="0" t="n">
        <f aca="false">IF(L358&gt;=0,L344,99)</f>
        <v>99</v>
      </c>
      <c r="M365" s="0" t="n">
        <f aca="false">IF(M358&gt;=0,M344,99)</f>
        <v>11</v>
      </c>
      <c r="N365" s="0" t="n">
        <f aca="false">IF(N358&gt;=0,N344,99)</f>
        <v>12</v>
      </c>
    </row>
    <row r="366" customFormat="false" ht="15" hidden="false" customHeight="false" outlineLevel="0" collapsed="false">
      <c r="A366" s="0" t="s">
        <v>236</v>
      </c>
      <c r="C366" s="0" t="n">
        <f aca="false">IF(C356&gt;=0,C344,99)</f>
        <v>99</v>
      </c>
      <c r="D366" s="0" t="n">
        <f aca="false">IF(D356&gt;=0,D344,99)</f>
        <v>99</v>
      </c>
      <c r="E366" s="0" t="n">
        <f aca="false">IF(E356&gt;=0,E344,99)</f>
        <v>99</v>
      </c>
      <c r="F366" s="0" t="n">
        <f aca="false">IF(F356&gt;=0,F344,99)</f>
        <v>99</v>
      </c>
      <c r="G366" s="0" t="n">
        <f aca="false">IF(G356&gt;=0,G344,99)</f>
        <v>99</v>
      </c>
      <c r="H366" s="0" t="n">
        <f aca="false">IF(H356&gt;=0,H344,99)</f>
        <v>99</v>
      </c>
      <c r="I366" s="0" t="n">
        <f aca="false">IF(I356&gt;=0,I344,99)</f>
        <v>99</v>
      </c>
      <c r="J366" s="0" t="n">
        <f aca="false">IF(J356&gt;=0,J344,99)</f>
        <v>8</v>
      </c>
      <c r="K366" s="0" t="n">
        <f aca="false">IF(K356&gt;=0,K344,99)</f>
        <v>9</v>
      </c>
      <c r="L366" s="0" t="n">
        <f aca="false">IF(L356&gt;=0,L344,99)</f>
        <v>10</v>
      </c>
      <c r="M366" s="0" t="n">
        <f aca="false">IF(M356&gt;=0,M344,99)</f>
        <v>11</v>
      </c>
      <c r="N366" s="0" t="n">
        <f aca="false">IF(N356&gt;=0,N344,99)</f>
        <v>12</v>
      </c>
    </row>
    <row r="367" customFormat="false" ht="15" hidden="false" customHeight="false" outlineLevel="0" collapsed="false">
      <c r="A367" s="5" t="s">
        <v>237</v>
      </c>
      <c r="B367" s="3" t="n">
        <f aca="false">O350</f>
        <v>1579612.5</v>
      </c>
    </row>
    <row r="368" customFormat="false" ht="15" hidden="false" customHeight="false" outlineLevel="0" collapsed="false">
      <c r="A368" s="5" t="s">
        <v>238</v>
      </c>
      <c r="B368" s="3" t="n">
        <f aca="false">O353</f>
        <v>320304.4744</v>
      </c>
    </row>
    <row r="369" customFormat="false" ht="15" hidden="false" customHeight="false" outlineLevel="0" collapsed="false">
      <c r="A369" s="5" t="s">
        <v>239</v>
      </c>
      <c r="B369" s="3" t="n">
        <f aca="false">O358</f>
        <v>-159695.5256</v>
      </c>
    </row>
    <row r="370" customFormat="false" ht="15" hidden="false" customHeight="false" outlineLevel="0" collapsed="false">
      <c r="A370" s="5" t="s">
        <v>240</v>
      </c>
      <c r="B370" s="3" t="n">
        <f aca="false">MIN(C362:N362)</f>
        <v>-50540.8381000001</v>
      </c>
    </row>
    <row r="371" customFormat="false" ht="15" hidden="false" customHeight="false" outlineLevel="0" collapsed="false">
      <c r="A371" s="5" t="s">
        <v>241</v>
      </c>
      <c r="B371" s="3" t="n">
        <f aca="false">N362</f>
        <v>-50540.8381000001</v>
      </c>
    </row>
    <row r="372" customFormat="false" ht="15" hidden="false" customHeight="false" outlineLevel="0" collapsed="false">
      <c r="A372" s="5" t="s">
        <v>242</v>
      </c>
      <c r="B372" s="0" t="str">
        <f aca="false">IF(B370&gt;=0,"YES","NO")</f>
        <v>NO</v>
      </c>
    </row>
    <row r="373" customFormat="false" ht="15" hidden="false" customHeight="false" outlineLevel="0" collapsed="false">
      <c r="A373" s="5" t="s">
        <v>243</v>
      </c>
      <c r="B373" s="0" t="str">
        <f aca="false">IF(B370&gt;=Capital_Allocation!$C$16,"YES","NO")</f>
        <v>NO</v>
      </c>
    </row>
    <row r="374" customFormat="false" ht="15" hidden="false" customHeight="false" outlineLevel="0" collapsed="false">
      <c r="A374" s="5" t="s">
        <v>244</v>
      </c>
      <c r="B374" s="3" t="n">
        <f aca="false">IF(MIN(C366:N366)=99,"none in 12 mo",MIN(C366:N366))</f>
        <v>8</v>
      </c>
    </row>
    <row r="375" customFormat="false" ht="15" hidden="false" customHeight="false" outlineLevel="0" collapsed="false">
      <c r="A375" s="5" t="s">
        <v>245</v>
      </c>
      <c r="B375" s="3" t="n">
        <f aca="false">N358</f>
        <v>3536.33539999998</v>
      </c>
    </row>
    <row r="376" customFormat="false" ht="15" hidden="false" customHeight="false" outlineLevel="0" collapsed="false">
      <c r="A376" s="5" t="s">
        <v>246</v>
      </c>
      <c r="B376" s="3" t="n">
        <f aca="false">N363</f>
        <v>125845.3125</v>
      </c>
    </row>
    <row r="377" customFormat="false" ht="15" hidden="false" customHeight="false" outlineLevel="0" collapsed="false">
      <c r="A377" s="5" t="s">
        <v>247</v>
      </c>
      <c r="B377" s="3" t="n">
        <f aca="false">IF(MIN(C365:N365)=99,"none in 12 mo",MIN(C365:N365))</f>
        <v>11</v>
      </c>
    </row>
    <row r="381" customFormat="false" ht="15" hidden="false" customHeight="false" outlineLevel="0" collapsed="false">
      <c r="A381" s="5" t="s">
        <v>257</v>
      </c>
      <c r="P381" s="3" t="s">
        <v>214</v>
      </c>
      <c r="Q381" s="3" t="n">
        <f aca="false">MAX(1,ROUNDUP((Assumptions!$B$10+Scenario_Inputs!$F$43)/30,0))</f>
        <v>1</v>
      </c>
    </row>
    <row r="382" customFormat="false" ht="15" hidden="false" customHeight="false" outlineLevel="0" collapsed="false">
      <c r="A382" s="0" t="s">
        <v>66</v>
      </c>
      <c r="C382" s="0" t="n">
        <v>1</v>
      </c>
      <c r="D382" s="0" t="n">
        <v>2</v>
      </c>
      <c r="E382" s="0" t="n">
        <v>3</v>
      </c>
      <c r="F382" s="0" t="n">
        <v>4</v>
      </c>
      <c r="G382" s="0" t="n">
        <v>5</v>
      </c>
      <c r="H382" s="0" t="n">
        <v>6</v>
      </c>
      <c r="I382" s="0" t="n">
        <v>7</v>
      </c>
      <c r="J382" s="0" t="n">
        <v>8</v>
      </c>
      <c r="K382" s="0" t="n">
        <v>9</v>
      </c>
      <c r="L382" s="0" t="n">
        <v>10</v>
      </c>
      <c r="M382" s="0" t="n">
        <v>11</v>
      </c>
      <c r="N382" s="0" t="n">
        <v>12</v>
      </c>
      <c r="O382" s="5" t="s">
        <v>215</v>
      </c>
    </row>
    <row r="383" customFormat="false" ht="15" hidden="false" customHeight="false" outlineLevel="0" collapsed="false">
      <c r="A383" s="0" t="s">
        <v>216</v>
      </c>
      <c r="C383" s="0" t="n">
        <f aca="false">Assumptions!B$33*Scenario_Inputs!$D$43</f>
        <v>0</v>
      </c>
      <c r="D383" s="0" t="n">
        <f aca="false">Assumptions!C$33*Scenario_Inputs!$D$43</f>
        <v>1</v>
      </c>
      <c r="E383" s="0" t="n">
        <f aca="false">Assumptions!D$33*Scenario_Inputs!$D$43</f>
        <v>2</v>
      </c>
      <c r="F383" s="0" t="n">
        <f aca="false">Assumptions!E$33*Scenario_Inputs!$D$43</f>
        <v>3</v>
      </c>
      <c r="G383" s="0" t="n">
        <f aca="false">Assumptions!F$33*Scenario_Inputs!$D$43</f>
        <v>3</v>
      </c>
      <c r="H383" s="0" t="n">
        <f aca="false">Assumptions!G$33*Scenario_Inputs!$D$43</f>
        <v>4</v>
      </c>
      <c r="I383" s="0" t="n">
        <f aca="false">Assumptions!H$33*Scenario_Inputs!$D$43</f>
        <v>4</v>
      </c>
      <c r="J383" s="0" t="n">
        <f aca="false">Assumptions!I$33*Scenario_Inputs!$D$43</f>
        <v>5</v>
      </c>
      <c r="K383" s="0" t="n">
        <f aca="false">Assumptions!J$33*Scenario_Inputs!$D$43</f>
        <v>5</v>
      </c>
      <c r="L383" s="0" t="n">
        <f aca="false">Assumptions!K$33*Scenario_Inputs!$D$43</f>
        <v>5</v>
      </c>
      <c r="M383" s="0" t="n">
        <f aca="false">Assumptions!L$33*Scenario_Inputs!$D$43</f>
        <v>6</v>
      </c>
      <c r="N383" s="0" t="n">
        <f aca="false">Assumptions!M$33*Scenario_Inputs!$D$43</f>
        <v>6</v>
      </c>
      <c r="O383" s="0" t="n">
        <f aca="false">SUM(C383:N383)</f>
        <v>44</v>
      </c>
    </row>
    <row r="384" customFormat="false" ht="15" hidden="false" customHeight="false" outlineLevel="0" collapsed="false">
      <c r="A384" s="0" t="s">
        <v>217</v>
      </c>
      <c r="C384" s="0" t="n">
        <v>0</v>
      </c>
      <c r="D384" s="0" t="n">
        <f aca="false">SUM($C383:C383)</f>
        <v>0</v>
      </c>
      <c r="E384" s="0" t="n">
        <f aca="false">SUM($C383:D383)</f>
        <v>1</v>
      </c>
      <c r="F384" s="0" t="n">
        <f aca="false">SUM($C383:E383)</f>
        <v>3</v>
      </c>
      <c r="G384" s="0" t="n">
        <f aca="false">SUM($C383:F383)</f>
        <v>6</v>
      </c>
      <c r="H384" s="0" t="n">
        <f aca="false">SUM($C383:G383)</f>
        <v>9</v>
      </c>
      <c r="I384" s="0" t="n">
        <f aca="false">SUM($C383:H383)</f>
        <v>13</v>
      </c>
      <c r="J384" s="0" t="n">
        <f aca="false">SUM($C383:I383)</f>
        <v>17</v>
      </c>
      <c r="K384" s="0" t="n">
        <f aca="false">SUM($C383:J383)</f>
        <v>22</v>
      </c>
      <c r="L384" s="0" t="n">
        <f aca="false">SUM($C383:K383)</f>
        <v>27</v>
      </c>
      <c r="M384" s="0" t="n">
        <f aca="false">SUM($C383:L383)</f>
        <v>32</v>
      </c>
      <c r="N384" s="0" t="n">
        <f aca="false">SUM($C383:M383)</f>
        <v>38</v>
      </c>
    </row>
    <row r="385" customFormat="false" ht="15" hidden="false" customHeight="false" outlineLevel="0" collapsed="false">
      <c r="A385" s="0" t="s">
        <v>218</v>
      </c>
      <c r="C385" s="0" t="n">
        <f aca="false">C384*Assumptions!$B$11*Scenario_Inputs!$E$43</f>
        <v>0</v>
      </c>
      <c r="D385" s="0" t="n">
        <f aca="false">D384*Assumptions!$B$11*Scenario_Inputs!$E$43</f>
        <v>0</v>
      </c>
      <c r="E385" s="0" t="n">
        <f aca="false">E384*Assumptions!$B$11*Scenario_Inputs!$E$43</f>
        <v>0.18</v>
      </c>
      <c r="F385" s="0" t="n">
        <f aca="false">F384*Assumptions!$B$11*Scenario_Inputs!$E$43</f>
        <v>0.54</v>
      </c>
      <c r="G385" s="0" t="n">
        <f aca="false">G384*Assumptions!$B$11*Scenario_Inputs!$E$43</f>
        <v>1.08</v>
      </c>
      <c r="H385" s="0" t="n">
        <f aca="false">H384*Assumptions!$B$11*Scenario_Inputs!$E$43</f>
        <v>1.62</v>
      </c>
      <c r="I385" s="0" t="n">
        <f aca="false">I384*Assumptions!$B$11*Scenario_Inputs!$E$43</f>
        <v>2.34</v>
      </c>
      <c r="J385" s="0" t="n">
        <f aca="false">J384*Assumptions!$B$11*Scenario_Inputs!$E$43</f>
        <v>3.06</v>
      </c>
      <c r="K385" s="0" t="n">
        <f aca="false">K384*Assumptions!$B$11*Scenario_Inputs!$E$43</f>
        <v>3.96</v>
      </c>
      <c r="L385" s="0" t="n">
        <f aca="false">L384*Assumptions!$B$11*Scenario_Inputs!$E$43</f>
        <v>4.86</v>
      </c>
      <c r="M385" s="0" t="n">
        <f aca="false">M384*Assumptions!$B$11*Scenario_Inputs!$E$43</f>
        <v>5.76</v>
      </c>
      <c r="N385" s="0" t="n">
        <f aca="false">N384*Assumptions!$B$11*Scenario_Inputs!$E$43</f>
        <v>6.84</v>
      </c>
      <c r="O385" s="0" t="n">
        <f aca="false">SUM(C385:N385)</f>
        <v>30.24</v>
      </c>
    </row>
    <row r="386" customFormat="false" ht="15" hidden="false" customHeight="false" outlineLevel="0" collapsed="false">
      <c r="A386" s="0" t="s">
        <v>219</v>
      </c>
      <c r="C386" s="0" t="n">
        <f aca="false">C383+C385</f>
        <v>0</v>
      </c>
      <c r="D386" s="0" t="n">
        <f aca="false">D383+D385</f>
        <v>1</v>
      </c>
      <c r="E386" s="0" t="n">
        <f aca="false">E383+E385</f>
        <v>2.18</v>
      </c>
      <c r="F386" s="0" t="n">
        <f aca="false">F383+F385</f>
        <v>3.54</v>
      </c>
      <c r="G386" s="0" t="n">
        <f aca="false">G383+G385</f>
        <v>4.08</v>
      </c>
      <c r="H386" s="0" t="n">
        <f aca="false">H383+H385</f>
        <v>5.62</v>
      </c>
      <c r="I386" s="0" t="n">
        <f aca="false">I383+I385</f>
        <v>6.34</v>
      </c>
      <c r="J386" s="0" t="n">
        <f aca="false">J383+J385</f>
        <v>8.06</v>
      </c>
      <c r="K386" s="0" t="n">
        <f aca="false">K383+K385</f>
        <v>8.96</v>
      </c>
      <c r="L386" s="0" t="n">
        <f aca="false">L383+L385</f>
        <v>9.86</v>
      </c>
      <c r="M386" s="0" t="n">
        <f aca="false">M383+M385</f>
        <v>11.76</v>
      </c>
      <c r="N386" s="0" t="n">
        <f aca="false">N383+N385</f>
        <v>12.84</v>
      </c>
      <c r="O386" s="0" t="n">
        <f aca="false">SUM(C386:N386)</f>
        <v>74.24</v>
      </c>
    </row>
    <row r="387" customFormat="false" ht="15" hidden="false" customHeight="false" outlineLevel="0" collapsed="false">
      <c r="A387" s="0" t="s">
        <v>220</v>
      </c>
      <c r="C387" s="0" t="n">
        <f aca="false">C386*Assumptions!$B$5*Scenario_Inputs!G$44</f>
        <v>0</v>
      </c>
      <c r="D387" s="0" t="n">
        <f aca="false">D386*Assumptions!$B$5*Scenario_Inputs!H$44</f>
        <v>16031.25</v>
      </c>
      <c r="E387" s="0" t="n">
        <f aca="false">E386*Assumptions!$B$5*Scenario_Inputs!I$44</f>
        <v>34948.125</v>
      </c>
      <c r="F387" s="0" t="n">
        <f aca="false">F386*Assumptions!$B$5*Scenario_Inputs!J$44</f>
        <v>56750.625</v>
      </c>
      <c r="G387" s="0" t="n">
        <f aca="false">G386*Assumptions!$B$5*Scenario_Inputs!K$44</f>
        <v>65407.5</v>
      </c>
      <c r="H387" s="0" t="n">
        <f aca="false">H386*Assumptions!$B$5*Scenario_Inputs!L$44</f>
        <v>90095.625</v>
      </c>
      <c r="I387" s="0" t="n">
        <f aca="false">I386*Assumptions!$B$5*Scenario_Inputs!M$44</f>
        <v>237155.625</v>
      </c>
      <c r="J387" s="0" t="n">
        <f aca="false">J386*Assumptions!$B$5*Scenario_Inputs!N$44</f>
        <v>301494.375</v>
      </c>
      <c r="K387" s="0" t="n">
        <f aca="false">K386*Assumptions!$B$5*Scenario_Inputs!O$44</f>
        <v>335160</v>
      </c>
      <c r="L387" s="0" t="n">
        <f aca="false">L386*Assumptions!$B$5*Scenario_Inputs!P$44</f>
        <v>368825.625</v>
      </c>
      <c r="M387" s="0" t="n">
        <f aca="false">M386*Assumptions!$B$5*Scenario_Inputs!Q$44</f>
        <v>439897.5</v>
      </c>
      <c r="N387" s="0" t="n">
        <f aca="false">N386*Assumptions!$B$5*Scenario_Inputs!R$44</f>
        <v>480296.25</v>
      </c>
      <c r="O387" s="0" t="n">
        <f aca="false">SUM(C387:N387)</f>
        <v>2426062.5</v>
      </c>
    </row>
    <row r="388" customFormat="false" ht="15" hidden="false" customHeight="false" outlineLevel="0" collapsed="false">
      <c r="A388" s="0" t="s">
        <v>221</v>
      </c>
      <c r="C388" s="0" t="n">
        <f aca="false">C387*Scenario_Inputs!$B$43</f>
        <v>0</v>
      </c>
      <c r="D388" s="0" t="n">
        <f aca="false">D387*Scenario_Inputs!$B$43</f>
        <v>16031.25</v>
      </c>
      <c r="E388" s="0" t="n">
        <f aca="false">E387*Scenario_Inputs!$B$43</f>
        <v>34948.125</v>
      </c>
      <c r="F388" s="0" t="n">
        <f aca="false">F387*Scenario_Inputs!$B$43</f>
        <v>56750.625</v>
      </c>
      <c r="G388" s="0" t="n">
        <f aca="false">G387*Scenario_Inputs!$B$43</f>
        <v>65407.5</v>
      </c>
      <c r="H388" s="0" t="n">
        <f aca="false">H387*Scenario_Inputs!$B$43</f>
        <v>90095.625</v>
      </c>
      <c r="I388" s="0" t="n">
        <f aca="false">I387*Scenario_Inputs!$B$43</f>
        <v>237155.625</v>
      </c>
      <c r="J388" s="0" t="n">
        <f aca="false">J387*Scenario_Inputs!$B$43</f>
        <v>301494.375</v>
      </c>
      <c r="K388" s="0" t="n">
        <f aca="false">K387*Scenario_Inputs!$B$43</f>
        <v>335160</v>
      </c>
      <c r="L388" s="0" t="n">
        <f aca="false">L387*Scenario_Inputs!$B$43</f>
        <v>368825.625</v>
      </c>
      <c r="M388" s="0" t="n">
        <f aca="false">M387*Scenario_Inputs!$B$43</f>
        <v>439897.5</v>
      </c>
      <c r="N388" s="0" t="n">
        <f aca="false">N387*Scenario_Inputs!$B$43</f>
        <v>480296.25</v>
      </c>
      <c r="O388" s="0" t="n">
        <f aca="false">SUM(C388:N388)</f>
        <v>2426062.5</v>
      </c>
    </row>
    <row r="389" customFormat="false" ht="15" hidden="false" customHeight="false" outlineLevel="0" collapsed="false">
      <c r="A389" s="0" t="s">
        <v>222</v>
      </c>
      <c r="C389" s="0" t="n">
        <f aca="false">C387*(1-Assumptions!$B$6)*Scenario_Inputs!$C$43*(1+(1-Assumptions!$B$26)*Assumptions!$B$21*Assumptions!$B$27)</f>
        <v>0</v>
      </c>
      <c r="D389" s="0" t="n">
        <f aca="false">D387*(1-Assumptions!$B$6)*Scenario_Inputs!$C$43*(1+(1-Assumptions!$B$26)*Assumptions!$B$21*Assumptions!$B$27)</f>
        <v>11818.653</v>
      </c>
      <c r="E389" s="0" t="n">
        <f aca="false">E387*(1-Assumptions!$B$6)*Scenario_Inputs!$C$43*(1+(1-Assumptions!$B$26)*Assumptions!$B$21*Assumptions!$B$27)</f>
        <v>25764.66354</v>
      </c>
      <c r="F389" s="0" t="n">
        <f aca="false">F387*(1-Assumptions!$B$6)*Scenario_Inputs!$C$43*(1+(1-Assumptions!$B$26)*Assumptions!$B$21*Assumptions!$B$27)</f>
        <v>41838.03162</v>
      </c>
      <c r="G389" s="0" t="n">
        <f aca="false">G387*(1-Assumptions!$B$6)*Scenario_Inputs!$C$43*(1+(1-Assumptions!$B$26)*Assumptions!$B$21*Assumptions!$B$27)</f>
        <v>48220.10424</v>
      </c>
      <c r="H389" s="0" t="n">
        <f aca="false">H387*(1-Assumptions!$B$6)*Scenario_Inputs!$C$43*(1+(1-Assumptions!$B$26)*Assumptions!$B$21*Assumptions!$B$27)</f>
        <v>66420.82986</v>
      </c>
      <c r="I389" s="0" t="n">
        <f aca="false">I387*(1-Assumptions!$B$6)*Scenario_Inputs!$C$43*(1+(1-Assumptions!$B$26)*Assumptions!$B$21*Assumptions!$B$27)</f>
        <v>174837.27338</v>
      </c>
      <c r="J389" s="0" t="n">
        <f aca="false">J387*(1-Assumptions!$B$6)*Scenario_Inputs!$C$43*(1+(1-Assumptions!$B$26)*Assumptions!$B$21*Assumptions!$B$27)</f>
        <v>222269.46742</v>
      </c>
      <c r="K389" s="0" t="n">
        <f aca="false">K387*(1-Assumptions!$B$6)*Scenario_Inputs!$C$43*(1+(1-Assumptions!$B$26)*Assumptions!$B$21*Assumptions!$B$27)</f>
        <v>247088.63872</v>
      </c>
      <c r="L389" s="0" t="n">
        <f aca="false">L387*(1-Assumptions!$B$6)*Scenario_Inputs!$C$43*(1+(1-Assumptions!$B$26)*Assumptions!$B$21*Assumptions!$B$27)</f>
        <v>271907.81002</v>
      </c>
      <c r="M389" s="0" t="n">
        <f aca="false">M387*(1-Assumptions!$B$6)*Scenario_Inputs!$C$43*(1+(1-Assumptions!$B$26)*Assumptions!$B$21*Assumptions!$B$27)</f>
        <v>324303.83832</v>
      </c>
      <c r="N389" s="0" t="n">
        <f aca="false">N387*(1-Assumptions!$B$6)*Scenario_Inputs!$C$43*(1+(1-Assumptions!$B$26)*Assumptions!$B$21*Assumptions!$B$27)</f>
        <v>354086.84388</v>
      </c>
      <c r="O389" s="0" t="n">
        <f aca="false">SUM(C389:N389)</f>
        <v>1788556.154</v>
      </c>
    </row>
    <row r="390" customFormat="false" ht="15" hidden="false" customHeight="false" outlineLevel="0" collapsed="false">
      <c r="A390" s="0" t="s">
        <v>223</v>
      </c>
      <c r="C390" s="0" t="n">
        <f aca="false">C388*(Assumptions!$B$7+Assumptions!$B$8)</f>
        <v>0</v>
      </c>
      <c r="D390" s="0" t="n">
        <f aca="false">D388*(Assumptions!$B$7+Assumptions!$B$8)</f>
        <v>961.875</v>
      </c>
      <c r="E390" s="0" t="n">
        <f aca="false">E388*(Assumptions!$B$7+Assumptions!$B$8)</f>
        <v>2096.8875</v>
      </c>
      <c r="F390" s="0" t="n">
        <f aca="false">F388*(Assumptions!$B$7+Assumptions!$B$8)</f>
        <v>3405.0375</v>
      </c>
      <c r="G390" s="0" t="n">
        <f aca="false">G388*(Assumptions!$B$7+Assumptions!$B$8)</f>
        <v>3924.45</v>
      </c>
      <c r="H390" s="0" t="n">
        <f aca="false">H388*(Assumptions!$B$7+Assumptions!$B$8)</f>
        <v>5405.7375</v>
      </c>
      <c r="I390" s="0" t="n">
        <f aca="false">I388*(Assumptions!$B$7+Assumptions!$B$8)</f>
        <v>14229.3375</v>
      </c>
      <c r="J390" s="0" t="n">
        <f aca="false">J388*(Assumptions!$B$7+Assumptions!$B$8)</f>
        <v>18089.6625</v>
      </c>
      <c r="K390" s="0" t="n">
        <f aca="false">K388*(Assumptions!$B$7+Assumptions!$B$8)</f>
        <v>20109.6</v>
      </c>
      <c r="L390" s="0" t="n">
        <f aca="false">L388*(Assumptions!$B$7+Assumptions!$B$8)</f>
        <v>22129.5375</v>
      </c>
      <c r="M390" s="0" t="n">
        <f aca="false">M388*(Assumptions!$B$7+Assumptions!$B$8)</f>
        <v>26393.85</v>
      </c>
      <c r="N390" s="0" t="n">
        <f aca="false">N388*(Assumptions!$B$7+Assumptions!$B$8)</f>
        <v>28817.775</v>
      </c>
      <c r="O390" s="0" t="n">
        <f aca="false">SUM(C390:N390)</f>
        <v>145563.75</v>
      </c>
    </row>
    <row r="391" customFormat="false" ht="15" hidden="false" customHeight="false" outlineLevel="0" collapsed="false">
      <c r="A391" s="0" t="s">
        <v>198</v>
      </c>
      <c r="C391" s="0" t="n">
        <f aca="false">C388-C389-C390</f>
        <v>0</v>
      </c>
      <c r="D391" s="0" t="n">
        <f aca="false">D388-D389-D390</f>
        <v>3250.722</v>
      </c>
      <c r="E391" s="0" t="n">
        <f aca="false">E388-E389-E390</f>
        <v>7086.57396</v>
      </c>
      <c r="F391" s="0" t="n">
        <f aca="false">F388-F389-F390</f>
        <v>11507.55588</v>
      </c>
      <c r="G391" s="0" t="n">
        <f aca="false">G388-G389-G390</f>
        <v>13262.94576</v>
      </c>
      <c r="H391" s="0" t="n">
        <f aca="false">H388-H389-H390</f>
        <v>18269.05764</v>
      </c>
      <c r="I391" s="0" t="n">
        <f aca="false">I388-I389-I390</f>
        <v>48089.01412</v>
      </c>
      <c r="J391" s="0" t="n">
        <f aca="false">J388-J389-J390</f>
        <v>61135.24508</v>
      </c>
      <c r="K391" s="0" t="n">
        <f aca="false">K388-K389-K390</f>
        <v>67961.76128</v>
      </c>
      <c r="L391" s="0" t="n">
        <f aca="false">L388-L389-L390</f>
        <v>74788.27748</v>
      </c>
      <c r="M391" s="0" t="n">
        <f aca="false">M388-M389-M390</f>
        <v>89199.81168</v>
      </c>
      <c r="N391" s="0" t="n">
        <f aca="false">N388-N389-N390</f>
        <v>97391.63112</v>
      </c>
      <c r="O391" s="0" t="n">
        <f aca="false">SUM(C391:N391)</f>
        <v>491942.596</v>
      </c>
    </row>
    <row r="392" customFormat="false" ht="15" hidden="false" customHeight="false" outlineLevel="0" collapsed="false">
      <c r="A392" s="0" t="s">
        <v>224</v>
      </c>
      <c r="C392" s="0" t="n">
        <f aca="false">Assumptions!$B$29</f>
        <v>32500</v>
      </c>
      <c r="D392" s="0" t="n">
        <f aca="false">Assumptions!$B$29</f>
        <v>32500</v>
      </c>
      <c r="E392" s="0" t="n">
        <f aca="false">Assumptions!$B$29</f>
        <v>32500</v>
      </c>
      <c r="F392" s="0" t="n">
        <f aca="false">Assumptions!$B$29</f>
        <v>32500</v>
      </c>
      <c r="G392" s="0" t="n">
        <f aca="false">Assumptions!$B$29</f>
        <v>32500</v>
      </c>
      <c r="H392" s="0" t="n">
        <f aca="false">Assumptions!$B$29</f>
        <v>32500</v>
      </c>
      <c r="I392" s="0" t="n">
        <f aca="false">Assumptions!$B$29</f>
        <v>32500</v>
      </c>
      <c r="J392" s="0" t="n">
        <f aca="false">Assumptions!$B$29</f>
        <v>32500</v>
      </c>
      <c r="K392" s="0" t="n">
        <f aca="false">Assumptions!$B$29</f>
        <v>32500</v>
      </c>
      <c r="L392" s="0" t="n">
        <f aca="false">Assumptions!$B$29</f>
        <v>32500</v>
      </c>
      <c r="M392" s="0" t="n">
        <f aca="false">Assumptions!$B$29</f>
        <v>32500</v>
      </c>
      <c r="N392" s="0" t="n">
        <f aca="false">Assumptions!$B$29</f>
        <v>32500</v>
      </c>
      <c r="O392" s="0" t="n">
        <f aca="false">SUM(C392:N392)</f>
        <v>390000</v>
      </c>
    </row>
    <row r="393" customFormat="false" ht="15" hidden="false" customHeight="false" outlineLevel="0" collapsed="false">
      <c r="A393" s="0" t="s">
        <v>225</v>
      </c>
      <c r="C393" s="0" t="n">
        <f aca="false">Scenario_Inputs!G$45</f>
        <v>0</v>
      </c>
      <c r="D393" s="0" t="n">
        <f aca="false">Scenario_Inputs!H$45</f>
        <v>0</v>
      </c>
      <c r="E393" s="0" t="n">
        <f aca="false">Scenario_Inputs!I$45</f>
        <v>0</v>
      </c>
      <c r="F393" s="0" t="n">
        <f aca="false">Scenario_Inputs!J$45</f>
        <v>0</v>
      </c>
      <c r="G393" s="0" t="n">
        <f aca="false">Scenario_Inputs!K$45</f>
        <v>0</v>
      </c>
      <c r="H393" s="0" t="n">
        <f aca="false">Scenario_Inputs!L$45</f>
        <v>0</v>
      </c>
      <c r="I393" s="0" t="n">
        <f aca="false">Scenario_Inputs!M$45</f>
        <v>0</v>
      </c>
      <c r="J393" s="0" t="n">
        <f aca="false">Scenario_Inputs!N$45</f>
        <v>0</v>
      </c>
      <c r="K393" s="0" t="n">
        <f aca="false">Scenario_Inputs!O$45</f>
        <v>0</v>
      </c>
      <c r="L393" s="0" t="n">
        <f aca="false">Scenario_Inputs!P$45</f>
        <v>0</v>
      </c>
      <c r="M393" s="0" t="n">
        <f aca="false">Scenario_Inputs!Q$45</f>
        <v>0</v>
      </c>
      <c r="N393" s="0" t="n">
        <f aca="false">Scenario_Inputs!R$45</f>
        <v>0</v>
      </c>
      <c r="O393" s="0" t="n">
        <f aca="false">SUM(C393:N393)</f>
        <v>0</v>
      </c>
    </row>
    <row r="394" customFormat="false" ht="15" hidden="false" customHeight="false" outlineLevel="0" collapsed="false">
      <c r="A394" s="0" t="s">
        <v>226</v>
      </c>
      <c r="C394" s="0" t="n">
        <f aca="false">C391-C392-C393</f>
        <v>-32500</v>
      </c>
      <c r="D394" s="0" t="n">
        <f aca="false">D391-D392-D393</f>
        <v>-29249.278</v>
      </c>
      <c r="E394" s="0" t="n">
        <f aca="false">E391-E392-E393</f>
        <v>-25413.42604</v>
      </c>
      <c r="F394" s="0" t="n">
        <f aca="false">F391-F392-F393</f>
        <v>-20992.44412</v>
      </c>
      <c r="G394" s="0" t="n">
        <f aca="false">G391-G392-G393</f>
        <v>-19237.05424</v>
      </c>
      <c r="H394" s="0" t="n">
        <f aca="false">H391-H392-H393</f>
        <v>-14230.94236</v>
      </c>
      <c r="I394" s="0" t="n">
        <f aca="false">I391-I392-I393</f>
        <v>15589.01412</v>
      </c>
      <c r="J394" s="0" t="n">
        <f aca="false">J391-J392-J393</f>
        <v>28635.24508</v>
      </c>
      <c r="K394" s="0" t="n">
        <f aca="false">K391-K392-K393</f>
        <v>35461.76128</v>
      </c>
      <c r="L394" s="0" t="n">
        <f aca="false">L391-L392-L393</f>
        <v>42288.27748</v>
      </c>
      <c r="M394" s="0" t="n">
        <f aca="false">M391-M392-M393</f>
        <v>56699.81168</v>
      </c>
      <c r="N394" s="0" t="n">
        <f aca="false">N391-N392-N393</f>
        <v>64891.63112</v>
      </c>
      <c r="O394" s="0" t="n">
        <f aca="false">SUM(C394:N394)</f>
        <v>101942.596</v>
      </c>
    </row>
    <row r="395" customFormat="false" ht="15" hidden="false" customHeight="false" outlineLevel="0" collapsed="false">
      <c r="A395" s="0" t="s">
        <v>227</v>
      </c>
      <c r="C395" s="0" t="n">
        <f aca="false">IF(C382&gt;=Assumptions!$B$13,Assumptions!$B$12,0)</f>
        <v>0</v>
      </c>
      <c r="D395" s="0" t="n">
        <f aca="false">IF(D382&gt;=Assumptions!$B$13,Assumptions!$B$12,0)</f>
        <v>0</v>
      </c>
      <c r="E395" s="0" t="n">
        <f aca="false">IF(E382&gt;=Assumptions!$B$13,Assumptions!$B$12,0)</f>
        <v>0</v>
      </c>
      <c r="F395" s="0" t="n">
        <f aca="false">IF(F382&gt;=Assumptions!$B$13,Assumptions!$B$12,0)</f>
        <v>0</v>
      </c>
      <c r="G395" s="0" t="n">
        <f aca="false">IF(G382&gt;=Assumptions!$B$13,Assumptions!$B$12,0)</f>
        <v>0</v>
      </c>
      <c r="H395" s="0" t="n">
        <f aca="false">IF(H382&gt;=Assumptions!$B$13,Assumptions!$B$12,0)</f>
        <v>0</v>
      </c>
      <c r="I395" s="0" t="n">
        <f aca="false">IF(I382&gt;=Assumptions!$B$13,Assumptions!$B$12,0)</f>
        <v>15000</v>
      </c>
      <c r="J395" s="0" t="n">
        <f aca="false">IF(J382&gt;=Assumptions!$B$13,Assumptions!$B$12,0)</f>
        <v>15000</v>
      </c>
      <c r="K395" s="0" t="n">
        <f aca="false">IF(K382&gt;=Assumptions!$B$13,Assumptions!$B$12,0)</f>
        <v>15000</v>
      </c>
      <c r="L395" s="0" t="n">
        <f aca="false">IF(L382&gt;=Assumptions!$B$13,Assumptions!$B$12,0)</f>
        <v>15000</v>
      </c>
      <c r="M395" s="0" t="n">
        <f aca="false">IF(M382&gt;=Assumptions!$B$13,Assumptions!$B$12,0)</f>
        <v>15000</v>
      </c>
      <c r="N395" s="0" t="n">
        <f aca="false">IF(N382&gt;=Assumptions!$B$13,Assumptions!$B$12,0)</f>
        <v>15000</v>
      </c>
      <c r="O395" s="0" t="n">
        <f aca="false">SUM(C395:N395)</f>
        <v>90000</v>
      </c>
    </row>
    <row r="396" customFormat="false" ht="15" hidden="false" customHeight="false" outlineLevel="0" collapsed="false">
      <c r="A396" s="0" t="s">
        <v>228</v>
      </c>
      <c r="C396" s="0" t="n">
        <f aca="false">C394-C395</f>
        <v>-32500</v>
      </c>
      <c r="D396" s="0" t="n">
        <f aca="false">D394-D395</f>
        <v>-29249.278</v>
      </c>
      <c r="E396" s="0" t="n">
        <f aca="false">E394-E395</f>
        <v>-25413.42604</v>
      </c>
      <c r="F396" s="0" t="n">
        <f aca="false">F394-F395</f>
        <v>-20992.44412</v>
      </c>
      <c r="G396" s="0" t="n">
        <f aca="false">G394-G395</f>
        <v>-19237.05424</v>
      </c>
      <c r="H396" s="0" t="n">
        <f aca="false">H394-H395</f>
        <v>-14230.94236</v>
      </c>
      <c r="I396" s="0" t="n">
        <f aca="false">I394-I395</f>
        <v>589.014119999978</v>
      </c>
      <c r="J396" s="0" t="n">
        <f aca="false">J394-J395</f>
        <v>13635.24508</v>
      </c>
      <c r="K396" s="0" t="n">
        <f aca="false">K394-K395</f>
        <v>20461.7612799999</v>
      </c>
      <c r="L396" s="0" t="n">
        <f aca="false">L394-L395</f>
        <v>27288.27748</v>
      </c>
      <c r="M396" s="0" t="n">
        <f aca="false">M394-M395</f>
        <v>41699.81168</v>
      </c>
      <c r="N396" s="0" t="n">
        <f aca="false">N394-N395</f>
        <v>49891.63112</v>
      </c>
      <c r="O396" s="0" t="n">
        <f aca="false">SUM(C396:N396)</f>
        <v>11942.5959999997</v>
      </c>
    </row>
    <row r="397" customFormat="false" ht="15" hidden="false" customHeight="false" outlineLevel="0" collapsed="false">
      <c r="A397" s="0" t="s">
        <v>229</v>
      </c>
      <c r="C397" s="0" t="n">
        <f aca="false">Assumptions!$B$9*C388+(1-Assumptions!$B$9)*IF(C382-$Q$381&gt;=1,INDEX($C388:$N388,C382-$Q$381),0)</f>
        <v>0</v>
      </c>
      <c r="D397" s="0" t="n">
        <f aca="false">Assumptions!$B$9*D388+(1-Assumptions!$B$9)*IF(D382-$Q$381&gt;=1,INDEX($C388:$N388,D382-$Q$381),0)</f>
        <v>8015.625</v>
      </c>
      <c r="E397" s="0" t="n">
        <f aca="false">Assumptions!$B$9*E388+(1-Assumptions!$B$9)*IF(E382-$Q$381&gt;=1,INDEX($C388:$N388,E382-$Q$381),0)</f>
        <v>25489.6875</v>
      </c>
      <c r="F397" s="0" t="n">
        <f aca="false">Assumptions!$B$9*F388+(1-Assumptions!$B$9)*IF(F382-$Q$381&gt;=1,INDEX($C388:$N388,F382-$Q$381),0)</f>
        <v>45849.375</v>
      </c>
      <c r="G397" s="0" t="n">
        <f aca="false">Assumptions!$B$9*G388+(1-Assumptions!$B$9)*IF(G382-$Q$381&gt;=1,INDEX($C388:$N388,G382-$Q$381),0)</f>
        <v>61079.0625</v>
      </c>
      <c r="H397" s="0" t="n">
        <f aca="false">Assumptions!$B$9*H388+(1-Assumptions!$B$9)*IF(H382-$Q$381&gt;=1,INDEX($C388:$N388,H382-$Q$381),0)</f>
        <v>77751.5625</v>
      </c>
      <c r="I397" s="0" t="n">
        <f aca="false">Assumptions!$B$9*I388+(1-Assumptions!$B$9)*IF(I382-$Q$381&gt;=1,INDEX($C388:$N388,I382-$Q$381),0)</f>
        <v>163625.625</v>
      </c>
      <c r="J397" s="0" t="n">
        <f aca="false">Assumptions!$B$9*J388+(1-Assumptions!$B$9)*IF(J382-$Q$381&gt;=1,INDEX($C388:$N388,J382-$Q$381),0)</f>
        <v>269325</v>
      </c>
      <c r="K397" s="0" t="n">
        <f aca="false">Assumptions!$B$9*K388+(1-Assumptions!$B$9)*IF(K382-$Q$381&gt;=1,INDEX($C388:$N388,K382-$Q$381),0)</f>
        <v>318327.1875</v>
      </c>
      <c r="L397" s="0" t="n">
        <f aca="false">Assumptions!$B$9*L388+(1-Assumptions!$B$9)*IF(L382-$Q$381&gt;=1,INDEX($C388:$N388,L382-$Q$381),0)</f>
        <v>351992.8125</v>
      </c>
      <c r="M397" s="0" t="n">
        <f aca="false">Assumptions!$B$9*M388+(1-Assumptions!$B$9)*IF(M382-$Q$381&gt;=1,INDEX($C388:$N388,M382-$Q$381),0)</f>
        <v>404361.5625</v>
      </c>
      <c r="N397" s="0" t="n">
        <f aca="false">Assumptions!$B$9*N388+(1-Assumptions!$B$9)*IF(N382-$Q$381&gt;=1,INDEX($C388:$N388,N382-$Q$381),0)</f>
        <v>460096.875</v>
      </c>
      <c r="O397" s="0" t="n">
        <f aca="false">SUM(C397:N397)</f>
        <v>2185914.375</v>
      </c>
    </row>
    <row r="398" customFormat="false" ht="15" hidden="false" customHeight="false" outlineLevel="0" collapsed="false">
      <c r="A398" s="0" t="s">
        <v>230</v>
      </c>
      <c r="C398" s="0" t="n">
        <f aca="false">C389+C390+C392+C393+C395</f>
        <v>32500</v>
      </c>
      <c r="D398" s="0" t="n">
        <f aca="false">D389+D390+D392+D393+D395</f>
        <v>45280.528</v>
      </c>
      <c r="E398" s="0" t="n">
        <f aca="false">E389+E390+E392+E393+E395</f>
        <v>60361.55104</v>
      </c>
      <c r="F398" s="0" t="n">
        <f aca="false">F389+F390+F392+F393+F395</f>
        <v>77743.06912</v>
      </c>
      <c r="G398" s="0" t="n">
        <f aca="false">G389+G390+G392+G393+G395</f>
        <v>84644.55424</v>
      </c>
      <c r="H398" s="0" t="n">
        <f aca="false">H389+H390+H392+H393+H395</f>
        <v>104326.56736</v>
      </c>
      <c r="I398" s="0" t="n">
        <f aca="false">I389+I390+I392+I393+I395</f>
        <v>236566.61088</v>
      </c>
      <c r="J398" s="0" t="n">
        <f aca="false">J389+J390+J392+J393+J395</f>
        <v>287859.12992</v>
      </c>
      <c r="K398" s="0" t="n">
        <f aca="false">K389+K390+K392+K393+K395</f>
        <v>314698.23872</v>
      </c>
      <c r="L398" s="0" t="n">
        <f aca="false">L389+L390+L392+L393+L395</f>
        <v>341537.34752</v>
      </c>
      <c r="M398" s="0" t="n">
        <f aca="false">M389+M390+M392+M393+M395</f>
        <v>398197.68832</v>
      </c>
      <c r="N398" s="0" t="n">
        <f aca="false">N389+N390+N392+N393+N395</f>
        <v>430404.61888</v>
      </c>
      <c r="O398" s="0" t="n">
        <f aca="false">SUM(C398:N398)</f>
        <v>2414119.904</v>
      </c>
    </row>
    <row r="399" customFormat="false" ht="15" hidden="false" customHeight="false" outlineLevel="0" collapsed="false">
      <c r="A399" s="0" t="s">
        <v>231</v>
      </c>
      <c r="C399" s="0" t="n">
        <f aca="false">C397-C398</f>
        <v>-32500</v>
      </c>
      <c r="D399" s="0" t="n">
        <f aca="false">D397-D398</f>
        <v>-37264.903</v>
      </c>
      <c r="E399" s="0" t="n">
        <f aca="false">E397-E398</f>
        <v>-34871.86354</v>
      </c>
      <c r="F399" s="0" t="n">
        <f aca="false">F397-F398</f>
        <v>-31893.69412</v>
      </c>
      <c r="G399" s="0" t="n">
        <f aca="false">G397-G398</f>
        <v>-23565.49174</v>
      </c>
      <c r="H399" s="0" t="n">
        <f aca="false">H397-H398</f>
        <v>-26575.00486</v>
      </c>
      <c r="I399" s="0" t="n">
        <f aca="false">I397-I398</f>
        <v>-72940.98588</v>
      </c>
      <c r="J399" s="0" t="n">
        <f aca="false">J397-J398</f>
        <v>-18534.12992</v>
      </c>
      <c r="K399" s="0" t="n">
        <f aca="false">K397-K398</f>
        <v>3628.94877999998</v>
      </c>
      <c r="L399" s="0" t="n">
        <f aca="false">L397-L398</f>
        <v>10455.46498</v>
      </c>
      <c r="M399" s="0" t="n">
        <f aca="false">M397-M398</f>
        <v>6163.87417999998</v>
      </c>
      <c r="N399" s="0" t="n">
        <f aca="false">N397-N398</f>
        <v>29692.25612</v>
      </c>
      <c r="O399" s="0" t="n">
        <f aca="false">SUM(C399:N399)</f>
        <v>-228205.529</v>
      </c>
    </row>
    <row r="400" customFormat="false" ht="15" hidden="false" customHeight="false" outlineLevel="0" collapsed="false">
      <c r="A400" s="0" t="s">
        <v>232</v>
      </c>
      <c r="C400" s="0" t="n">
        <f aca="false">Capital_Allocation!$C$20+C399</f>
        <v>202500</v>
      </c>
      <c r="D400" s="0" t="n">
        <f aca="false">C400+D399</f>
        <v>165235.097</v>
      </c>
      <c r="E400" s="0" t="n">
        <f aca="false">D400+E399</f>
        <v>130363.23346</v>
      </c>
      <c r="F400" s="0" t="n">
        <f aca="false">E400+F399</f>
        <v>98469.53934</v>
      </c>
      <c r="G400" s="0" t="n">
        <f aca="false">F400+G399</f>
        <v>74904.0476</v>
      </c>
      <c r="H400" s="0" t="n">
        <f aca="false">G400+H399</f>
        <v>48329.04274</v>
      </c>
      <c r="I400" s="0" t="n">
        <f aca="false">H400+I399</f>
        <v>-24611.94314</v>
      </c>
      <c r="J400" s="0" t="n">
        <f aca="false">I400+J399</f>
        <v>-43146.07306</v>
      </c>
      <c r="K400" s="0" t="n">
        <f aca="false">J400+K399</f>
        <v>-39517.1242800001</v>
      </c>
      <c r="L400" s="0" t="n">
        <f aca="false">K400+L399</f>
        <v>-29061.6593000001</v>
      </c>
      <c r="M400" s="0" t="n">
        <f aca="false">L400+M399</f>
        <v>-22897.7851200001</v>
      </c>
      <c r="N400" s="0" t="n">
        <f aca="false">M400+N399</f>
        <v>6794.47099999995</v>
      </c>
    </row>
    <row r="401" customFormat="false" ht="15" hidden="false" customHeight="false" outlineLevel="0" collapsed="false">
      <c r="A401" s="0" t="s">
        <v>233</v>
      </c>
      <c r="C401" s="0" t="n">
        <f aca="false">SUM($C388:C388)-SUM($C397:C397)</f>
        <v>0</v>
      </c>
      <c r="D401" s="0" t="n">
        <f aca="false">SUM($C388:D388)-SUM($C397:D397)</f>
        <v>8015.625</v>
      </c>
      <c r="E401" s="0" t="n">
        <f aca="false">SUM($C388:E388)-SUM($C397:E397)</f>
        <v>17474.0625</v>
      </c>
      <c r="F401" s="0" t="n">
        <f aca="false">SUM($C388:F388)-SUM($C397:F397)</f>
        <v>28375.3125</v>
      </c>
      <c r="G401" s="0" t="n">
        <f aca="false">SUM($C388:G388)-SUM($C397:G397)</f>
        <v>32703.75</v>
      </c>
      <c r="H401" s="0" t="n">
        <f aca="false">SUM($C388:H388)-SUM($C397:H397)</f>
        <v>45047.8125</v>
      </c>
      <c r="I401" s="0" t="n">
        <f aca="false">SUM($C388:I388)-SUM($C397:I397)</f>
        <v>118577.8125</v>
      </c>
      <c r="J401" s="0" t="n">
        <f aca="false">SUM($C388:J388)-SUM($C397:J397)</f>
        <v>150747.1875</v>
      </c>
      <c r="K401" s="0" t="n">
        <f aca="false">SUM($C388:K388)-SUM($C397:K397)</f>
        <v>167580</v>
      </c>
      <c r="L401" s="0" t="n">
        <f aca="false">SUM($C388:L388)-SUM($C397:L397)</f>
        <v>184412.8125</v>
      </c>
      <c r="M401" s="0" t="n">
        <f aca="false">SUM($C388:M388)-SUM($C397:M397)</f>
        <v>219948.75</v>
      </c>
      <c r="N401" s="0" t="n">
        <f aca="false">SUM($C388:N388)-SUM($C397:N397)</f>
        <v>240148.125</v>
      </c>
    </row>
    <row r="402" customFormat="false" ht="15" hidden="false" customHeight="false" outlineLevel="0" collapsed="false">
      <c r="A402" s="0" t="s">
        <v>234</v>
      </c>
      <c r="C402" s="0" t="n">
        <f aca="false">SUM($C396:C396)</f>
        <v>-32500</v>
      </c>
      <c r="D402" s="0" t="n">
        <f aca="false">SUM($C396:D396)</f>
        <v>-61749.278</v>
      </c>
      <c r="E402" s="0" t="n">
        <f aca="false">SUM($C396:E396)</f>
        <v>-87162.70404</v>
      </c>
      <c r="F402" s="0" t="n">
        <f aca="false">SUM($C396:F396)</f>
        <v>-108155.14816</v>
      </c>
      <c r="G402" s="0" t="n">
        <f aca="false">SUM($C396:G396)</f>
        <v>-127392.2024</v>
      </c>
      <c r="H402" s="0" t="n">
        <f aca="false">SUM($C396:H396)</f>
        <v>-141623.14476</v>
      </c>
      <c r="I402" s="0" t="n">
        <f aca="false">SUM($C396:I396)</f>
        <v>-141034.13064</v>
      </c>
      <c r="J402" s="0" t="n">
        <f aca="false">SUM($C396:J396)</f>
        <v>-127398.88556</v>
      </c>
      <c r="K402" s="0" t="n">
        <f aca="false">SUM($C396:K396)</f>
        <v>-106937.12428</v>
      </c>
      <c r="L402" s="0" t="n">
        <f aca="false">SUM($C396:L396)</f>
        <v>-79648.8468000002</v>
      </c>
      <c r="M402" s="0" t="n">
        <f aca="false">SUM($C396:M396)</f>
        <v>-37949.0351200002</v>
      </c>
      <c r="N402" s="0" t="n">
        <f aca="false">SUM($C396:N396)</f>
        <v>11942.5959999997</v>
      </c>
    </row>
    <row r="403" customFormat="false" ht="15" hidden="false" customHeight="false" outlineLevel="0" collapsed="false">
      <c r="A403" s="0" t="s">
        <v>235</v>
      </c>
      <c r="C403" s="0" t="n">
        <f aca="false">IF(C396&gt;=0,C382,99)</f>
        <v>99</v>
      </c>
      <c r="D403" s="0" t="n">
        <f aca="false">IF(D396&gt;=0,D382,99)</f>
        <v>99</v>
      </c>
      <c r="E403" s="0" t="n">
        <f aca="false">IF(E396&gt;=0,E382,99)</f>
        <v>99</v>
      </c>
      <c r="F403" s="0" t="n">
        <f aca="false">IF(F396&gt;=0,F382,99)</f>
        <v>99</v>
      </c>
      <c r="G403" s="0" t="n">
        <f aca="false">IF(G396&gt;=0,G382,99)</f>
        <v>99</v>
      </c>
      <c r="H403" s="0" t="n">
        <f aca="false">IF(H396&gt;=0,H382,99)</f>
        <v>99</v>
      </c>
      <c r="I403" s="0" t="n">
        <f aca="false">IF(I396&gt;=0,I382,99)</f>
        <v>7</v>
      </c>
      <c r="J403" s="0" t="n">
        <f aca="false">IF(J396&gt;=0,J382,99)</f>
        <v>8</v>
      </c>
      <c r="K403" s="0" t="n">
        <f aca="false">IF(K396&gt;=0,K382,99)</f>
        <v>9</v>
      </c>
      <c r="L403" s="0" t="n">
        <f aca="false">IF(L396&gt;=0,L382,99)</f>
        <v>10</v>
      </c>
      <c r="M403" s="0" t="n">
        <f aca="false">IF(M396&gt;=0,M382,99)</f>
        <v>11</v>
      </c>
      <c r="N403" s="0" t="n">
        <f aca="false">IF(N396&gt;=0,N382,99)</f>
        <v>12</v>
      </c>
    </row>
    <row r="404" customFormat="false" ht="15" hidden="false" customHeight="false" outlineLevel="0" collapsed="false">
      <c r="A404" s="0" t="s">
        <v>236</v>
      </c>
      <c r="C404" s="0" t="n">
        <f aca="false">IF(C394&gt;=0,C382,99)</f>
        <v>99</v>
      </c>
      <c r="D404" s="0" t="n">
        <f aca="false">IF(D394&gt;=0,D382,99)</f>
        <v>99</v>
      </c>
      <c r="E404" s="0" t="n">
        <f aca="false">IF(E394&gt;=0,E382,99)</f>
        <v>99</v>
      </c>
      <c r="F404" s="0" t="n">
        <f aca="false">IF(F394&gt;=0,F382,99)</f>
        <v>99</v>
      </c>
      <c r="G404" s="0" t="n">
        <f aca="false">IF(G394&gt;=0,G382,99)</f>
        <v>99</v>
      </c>
      <c r="H404" s="0" t="n">
        <f aca="false">IF(H394&gt;=0,H382,99)</f>
        <v>99</v>
      </c>
      <c r="I404" s="0" t="n">
        <f aca="false">IF(I394&gt;=0,I382,99)</f>
        <v>7</v>
      </c>
      <c r="J404" s="0" t="n">
        <f aca="false">IF(J394&gt;=0,J382,99)</f>
        <v>8</v>
      </c>
      <c r="K404" s="0" t="n">
        <f aca="false">IF(K394&gt;=0,K382,99)</f>
        <v>9</v>
      </c>
      <c r="L404" s="0" t="n">
        <f aca="false">IF(L394&gt;=0,L382,99)</f>
        <v>10</v>
      </c>
      <c r="M404" s="0" t="n">
        <f aca="false">IF(M394&gt;=0,M382,99)</f>
        <v>11</v>
      </c>
      <c r="N404" s="0" t="n">
        <f aca="false">IF(N394&gt;=0,N382,99)</f>
        <v>12</v>
      </c>
    </row>
    <row r="405" customFormat="false" ht="15" hidden="false" customHeight="false" outlineLevel="0" collapsed="false">
      <c r="A405" s="5" t="s">
        <v>237</v>
      </c>
      <c r="B405" s="3" t="n">
        <f aca="false">O388</f>
        <v>2426062.5</v>
      </c>
    </row>
    <row r="406" customFormat="false" ht="15" hidden="false" customHeight="false" outlineLevel="0" collapsed="false">
      <c r="A406" s="5" t="s">
        <v>238</v>
      </c>
      <c r="B406" s="3" t="n">
        <f aca="false">O391</f>
        <v>491942.596</v>
      </c>
    </row>
    <row r="407" customFormat="false" ht="15" hidden="false" customHeight="false" outlineLevel="0" collapsed="false">
      <c r="A407" s="5" t="s">
        <v>239</v>
      </c>
      <c r="B407" s="3" t="n">
        <f aca="false">O396</f>
        <v>11942.5959999997</v>
      </c>
    </row>
    <row r="408" customFormat="false" ht="15" hidden="false" customHeight="false" outlineLevel="0" collapsed="false">
      <c r="A408" s="5" t="s">
        <v>240</v>
      </c>
      <c r="B408" s="3" t="n">
        <f aca="false">MIN(C400:N400)</f>
        <v>-43146.07306</v>
      </c>
    </row>
    <row r="409" customFormat="false" ht="15" hidden="false" customHeight="false" outlineLevel="0" collapsed="false">
      <c r="A409" s="5" t="s">
        <v>241</v>
      </c>
      <c r="B409" s="3" t="n">
        <f aca="false">N400</f>
        <v>6794.47099999995</v>
      </c>
    </row>
    <row r="410" customFormat="false" ht="15" hidden="false" customHeight="false" outlineLevel="0" collapsed="false">
      <c r="A410" s="5" t="s">
        <v>242</v>
      </c>
      <c r="B410" s="0" t="str">
        <f aca="false">IF(B408&gt;=0,"YES","NO")</f>
        <v>NO</v>
      </c>
    </row>
    <row r="411" customFormat="false" ht="15" hidden="false" customHeight="false" outlineLevel="0" collapsed="false">
      <c r="A411" s="5" t="s">
        <v>243</v>
      </c>
      <c r="B411" s="0" t="str">
        <f aca="false">IF(B408&gt;=Capital_Allocation!$C$16,"YES","NO")</f>
        <v>NO</v>
      </c>
    </row>
    <row r="412" customFormat="false" ht="15" hidden="false" customHeight="false" outlineLevel="0" collapsed="false">
      <c r="A412" s="5" t="s">
        <v>244</v>
      </c>
      <c r="B412" s="3" t="n">
        <f aca="false">IF(MIN(C404:N404)=99,"none in 12 mo",MIN(C404:N404))</f>
        <v>7</v>
      </c>
    </row>
    <row r="413" customFormat="false" ht="15" hidden="false" customHeight="false" outlineLevel="0" collapsed="false">
      <c r="A413" s="5" t="s">
        <v>245</v>
      </c>
      <c r="B413" s="3" t="n">
        <f aca="false">N396</f>
        <v>49891.63112</v>
      </c>
    </row>
    <row r="414" customFormat="false" ht="15" hidden="false" customHeight="false" outlineLevel="0" collapsed="false">
      <c r="A414" s="5" t="s">
        <v>246</v>
      </c>
      <c r="B414" s="3" t="n">
        <f aca="false">N401</f>
        <v>240148.125</v>
      </c>
    </row>
    <row r="415" customFormat="false" ht="15" hidden="false" customHeight="false" outlineLevel="0" collapsed="false">
      <c r="A415" s="5" t="s">
        <v>247</v>
      </c>
      <c r="B415" s="3" t="n">
        <f aca="false">IF(MIN(C403:N403)=99,"none in 12 mo",MIN(C403:N403))</f>
        <v>7</v>
      </c>
    </row>
    <row r="419" customFormat="false" ht="15" hidden="false" customHeight="false" outlineLevel="0" collapsed="false">
      <c r="A419" s="5" t="s">
        <v>258</v>
      </c>
      <c r="P419" s="3" t="s">
        <v>214</v>
      </c>
      <c r="Q419" s="3" t="n">
        <f aca="false">MAX(1,ROUNDUP((Assumptions!$B$10+Scenario_Inputs!$F$47)/30,0))</f>
        <v>1</v>
      </c>
    </row>
    <row r="420" customFormat="false" ht="15" hidden="false" customHeight="false" outlineLevel="0" collapsed="false">
      <c r="A420" s="0" t="s">
        <v>66</v>
      </c>
      <c r="C420" s="0" t="n">
        <v>1</v>
      </c>
      <c r="D420" s="0" t="n">
        <v>2</v>
      </c>
      <c r="E420" s="0" t="n">
        <v>3</v>
      </c>
      <c r="F420" s="0" t="n">
        <v>4</v>
      </c>
      <c r="G420" s="0" t="n">
        <v>5</v>
      </c>
      <c r="H420" s="0" t="n">
        <v>6</v>
      </c>
      <c r="I420" s="0" t="n">
        <v>7</v>
      </c>
      <c r="J420" s="0" t="n">
        <v>8</v>
      </c>
      <c r="K420" s="0" t="n">
        <v>9</v>
      </c>
      <c r="L420" s="0" t="n">
        <v>10</v>
      </c>
      <c r="M420" s="0" t="n">
        <v>11</v>
      </c>
      <c r="N420" s="0" t="n">
        <v>12</v>
      </c>
      <c r="O420" s="5" t="s">
        <v>215</v>
      </c>
    </row>
    <row r="421" customFormat="false" ht="15" hidden="false" customHeight="false" outlineLevel="0" collapsed="false">
      <c r="A421" s="0" t="s">
        <v>216</v>
      </c>
      <c r="C421" s="0" t="n">
        <f aca="false">Assumptions!B$33*Scenario_Inputs!$D$47</f>
        <v>0</v>
      </c>
      <c r="D421" s="0" t="n">
        <f aca="false">Assumptions!C$33*Scenario_Inputs!$D$47</f>
        <v>1</v>
      </c>
      <c r="E421" s="0" t="n">
        <f aca="false">Assumptions!D$33*Scenario_Inputs!$D$47</f>
        <v>2</v>
      </c>
      <c r="F421" s="0" t="n">
        <f aca="false">Assumptions!E$33*Scenario_Inputs!$D$47</f>
        <v>3</v>
      </c>
      <c r="G421" s="0" t="n">
        <f aca="false">Assumptions!F$33*Scenario_Inputs!$D$47</f>
        <v>3</v>
      </c>
      <c r="H421" s="0" t="n">
        <f aca="false">Assumptions!G$33*Scenario_Inputs!$D$47</f>
        <v>4</v>
      </c>
      <c r="I421" s="0" t="n">
        <f aca="false">Assumptions!H$33*Scenario_Inputs!$D$47</f>
        <v>4</v>
      </c>
      <c r="J421" s="0" t="n">
        <f aca="false">Assumptions!I$33*Scenario_Inputs!$D$47</f>
        <v>5</v>
      </c>
      <c r="K421" s="0" t="n">
        <f aca="false">Assumptions!J$33*Scenario_Inputs!$D$47</f>
        <v>5</v>
      </c>
      <c r="L421" s="0" t="n">
        <f aca="false">Assumptions!K$33*Scenario_Inputs!$D$47</f>
        <v>5</v>
      </c>
      <c r="M421" s="0" t="n">
        <f aca="false">Assumptions!L$33*Scenario_Inputs!$D$47</f>
        <v>6</v>
      </c>
      <c r="N421" s="0" t="n">
        <f aca="false">Assumptions!M$33*Scenario_Inputs!$D$47</f>
        <v>6</v>
      </c>
      <c r="O421" s="0" t="n">
        <f aca="false">SUM(C421:N421)</f>
        <v>44</v>
      </c>
    </row>
    <row r="422" customFormat="false" ht="15" hidden="false" customHeight="false" outlineLevel="0" collapsed="false">
      <c r="A422" s="0" t="s">
        <v>217</v>
      </c>
      <c r="C422" s="0" t="n">
        <v>0</v>
      </c>
      <c r="D422" s="0" t="n">
        <f aca="false">SUM($C421:C421)</f>
        <v>0</v>
      </c>
      <c r="E422" s="0" t="n">
        <f aca="false">SUM($C421:D421)</f>
        <v>1</v>
      </c>
      <c r="F422" s="0" t="n">
        <f aca="false">SUM($C421:E421)</f>
        <v>3</v>
      </c>
      <c r="G422" s="0" t="n">
        <f aca="false">SUM($C421:F421)</f>
        <v>6</v>
      </c>
      <c r="H422" s="0" t="n">
        <f aca="false">SUM($C421:G421)</f>
        <v>9</v>
      </c>
      <c r="I422" s="0" t="n">
        <f aca="false">SUM($C421:H421)</f>
        <v>13</v>
      </c>
      <c r="J422" s="0" t="n">
        <f aca="false">SUM($C421:I421)</f>
        <v>17</v>
      </c>
      <c r="K422" s="0" t="n">
        <f aca="false">SUM($C421:J421)</f>
        <v>22</v>
      </c>
      <c r="L422" s="0" t="n">
        <f aca="false">SUM($C421:K421)</f>
        <v>27</v>
      </c>
      <c r="M422" s="0" t="n">
        <f aca="false">SUM($C421:L421)</f>
        <v>32</v>
      </c>
      <c r="N422" s="0" t="n">
        <f aca="false">SUM($C421:M421)</f>
        <v>38</v>
      </c>
    </row>
    <row r="423" customFormat="false" ht="15" hidden="false" customHeight="false" outlineLevel="0" collapsed="false">
      <c r="A423" s="0" t="s">
        <v>218</v>
      </c>
      <c r="C423" s="0" t="n">
        <f aca="false">C422*Assumptions!$B$11*Scenario_Inputs!$E$47</f>
        <v>0</v>
      </c>
      <c r="D423" s="0" t="n">
        <f aca="false">D422*Assumptions!$B$11*Scenario_Inputs!$E$47</f>
        <v>0</v>
      </c>
      <c r="E423" s="0" t="n">
        <f aca="false">E422*Assumptions!$B$11*Scenario_Inputs!$E$47</f>
        <v>0.18</v>
      </c>
      <c r="F423" s="0" t="n">
        <f aca="false">F422*Assumptions!$B$11*Scenario_Inputs!$E$47</f>
        <v>0.54</v>
      </c>
      <c r="G423" s="0" t="n">
        <f aca="false">G422*Assumptions!$B$11*Scenario_Inputs!$E$47</f>
        <v>1.08</v>
      </c>
      <c r="H423" s="0" t="n">
        <f aca="false">H422*Assumptions!$B$11*Scenario_Inputs!$E$47</f>
        <v>1.62</v>
      </c>
      <c r="I423" s="0" t="n">
        <f aca="false">I422*Assumptions!$B$11*Scenario_Inputs!$E$47</f>
        <v>2.34</v>
      </c>
      <c r="J423" s="0" t="n">
        <f aca="false">J422*Assumptions!$B$11*Scenario_Inputs!$E$47</f>
        <v>3.06</v>
      </c>
      <c r="K423" s="0" t="n">
        <f aca="false">K422*Assumptions!$B$11*Scenario_Inputs!$E$47</f>
        <v>3.96</v>
      </c>
      <c r="L423" s="0" t="n">
        <f aca="false">L422*Assumptions!$B$11*Scenario_Inputs!$E$47</f>
        <v>4.86</v>
      </c>
      <c r="M423" s="0" t="n">
        <f aca="false">M422*Assumptions!$B$11*Scenario_Inputs!$E$47</f>
        <v>5.76</v>
      </c>
      <c r="N423" s="0" t="n">
        <f aca="false">N422*Assumptions!$B$11*Scenario_Inputs!$E$47</f>
        <v>6.84</v>
      </c>
      <c r="O423" s="0" t="n">
        <f aca="false">SUM(C423:N423)</f>
        <v>30.24</v>
      </c>
    </row>
    <row r="424" customFormat="false" ht="15" hidden="false" customHeight="false" outlineLevel="0" collapsed="false">
      <c r="A424" s="0" t="s">
        <v>219</v>
      </c>
      <c r="C424" s="0" t="n">
        <f aca="false">C421+C423</f>
        <v>0</v>
      </c>
      <c r="D424" s="0" t="n">
        <f aca="false">D421+D423</f>
        <v>1</v>
      </c>
      <c r="E424" s="0" t="n">
        <f aca="false">E421+E423</f>
        <v>2.18</v>
      </c>
      <c r="F424" s="0" t="n">
        <f aca="false">F421+F423</f>
        <v>3.54</v>
      </c>
      <c r="G424" s="0" t="n">
        <f aca="false">G421+G423</f>
        <v>4.08</v>
      </c>
      <c r="H424" s="0" t="n">
        <f aca="false">H421+H423</f>
        <v>5.62</v>
      </c>
      <c r="I424" s="0" t="n">
        <f aca="false">I421+I423</f>
        <v>6.34</v>
      </c>
      <c r="J424" s="0" t="n">
        <f aca="false">J421+J423</f>
        <v>8.06</v>
      </c>
      <c r="K424" s="0" t="n">
        <f aca="false">K421+K423</f>
        <v>8.96</v>
      </c>
      <c r="L424" s="0" t="n">
        <f aca="false">L421+L423</f>
        <v>9.86</v>
      </c>
      <c r="M424" s="0" t="n">
        <f aca="false">M421+M423</f>
        <v>11.76</v>
      </c>
      <c r="N424" s="0" t="n">
        <f aca="false">N421+N423</f>
        <v>12.84</v>
      </c>
      <c r="O424" s="0" t="n">
        <f aca="false">SUM(C424:N424)</f>
        <v>74.24</v>
      </c>
    </row>
    <row r="425" customFormat="false" ht="15" hidden="false" customHeight="false" outlineLevel="0" collapsed="false">
      <c r="A425" s="0" t="s">
        <v>220</v>
      </c>
      <c r="C425" s="0" t="n">
        <f aca="false">C424*Assumptions!$B$5*Scenario_Inputs!G$48</f>
        <v>0</v>
      </c>
      <c r="D425" s="0" t="n">
        <f aca="false">D424*Assumptions!$B$5*Scenario_Inputs!H$48</f>
        <v>26718.75</v>
      </c>
      <c r="E425" s="0" t="n">
        <f aca="false">E424*Assumptions!$B$5*Scenario_Inputs!I$48</f>
        <v>58246.875</v>
      </c>
      <c r="F425" s="0" t="n">
        <f aca="false">F424*Assumptions!$B$5*Scenario_Inputs!J$48</f>
        <v>94584.375</v>
      </c>
      <c r="G425" s="0" t="n">
        <f aca="false">G424*Assumptions!$B$5*Scenario_Inputs!K$48</f>
        <v>109012.5</v>
      </c>
      <c r="H425" s="0" t="n">
        <f aca="false">H424*Assumptions!$B$5*Scenario_Inputs!L$48</f>
        <v>150159.375</v>
      </c>
      <c r="I425" s="0" t="n">
        <f aca="false">I424*Assumptions!$B$5*Scenario_Inputs!M$48</f>
        <v>169396.875</v>
      </c>
      <c r="J425" s="0" t="n">
        <f aca="false">J424*Assumptions!$B$5*Scenario_Inputs!N$48</f>
        <v>215353.125</v>
      </c>
      <c r="K425" s="0" t="n">
        <f aca="false">K424*Assumptions!$B$5*Scenario_Inputs!O$48</f>
        <v>239400</v>
      </c>
      <c r="L425" s="0" t="n">
        <f aca="false">L424*Assumptions!$B$5*Scenario_Inputs!P$48</f>
        <v>263446.875</v>
      </c>
      <c r="M425" s="0" t="n">
        <f aca="false">M424*Assumptions!$B$5*Scenario_Inputs!Q$48</f>
        <v>314212.5</v>
      </c>
      <c r="N425" s="0" t="n">
        <f aca="false">N424*Assumptions!$B$5*Scenario_Inputs!R$48</f>
        <v>343068.75</v>
      </c>
      <c r="O425" s="0" t="n">
        <f aca="false">SUM(C425:N425)</f>
        <v>1983600</v>
      </c>
    </row>
    <row r="426" customFormat="false" ht="15" hidden="false" customHeight="false" outlineLevel="0" collapsed="false">
      <c r="A426" s="0" t="s">
        <v>221</v>
      </c>
      <c r="C426" s="0" t="n">
        <f aca="false">C425*Scenario_Inputs!$B$47</f>
        <v>0</v>
      </c>
      <c r="D426" s="0" t="n">
        <f aca="false">D425*Scenario_Inputs!$B$47</f>
        <v>26718.75</v>
      </c>
      <c r="E426" s="0" t="n">
        <f aca="false">E425*Scenario_Inputs!$B$47</f>
        <v>58246.875</v>
      </c>
      <c r="F426" s="0" t="n">
        <f aca="false">F425*Scenario_Inputs!$B$47</f>
        <v>94584.375</v>
      </c>
      <c r="G426" s="0" t="n">
        <f aca="false">G425*Scenario_Inputs!$B$47</f>
        <v>109012.5</v>
      </c>
      <c r="H426" s="0" t="n">
        <f aca="false">H425*Scenario_Inputs!$B$47</f>
        <v>150159.375</v>
      </c>
      <c r="I426" s="0" t="n">
        <f aca="false">I425*Scenario_Inputs!$B$47</f>
        <v>169396.875</v>
      </c>
      <c r="J426" s="0" t="n">
        <f aca="false">J425*Scenario_Inputs!$B$47</f>
        <v>215353.125</v>
      </c>
      <c r="K426" s="0" t="n">
        <f aca="false">K425*Scenario_Inputs!$B$47</f>
        <v>239400</v>
      </c>
      <c r="L426" s="0" t="n">
        <f aca="false">L425*Scenario_Inputs!$B$47</f>
        <v>263446.875</v>
      </c>
      <c r="M426" s="0" t="n">
        <f aca="false">M425*Scenario_Inputs!$B$47</f>
        <v>314212.5</v>
      </c>
      <c r="N426" s="0" t="n">
        <f aca="false">N425*Scenario_Inputs!$B$47</f>
        <v>343068.75</v>
      </c>
      <c r="O426" s="0" t="n">
        <f aca="false">SUM(C426:N426)</f>
        <v>1983600</v>
      </c>
    </row>
    <row r="427" customFormat="false" ht="15" hidden="false" customHeight="false" outlineLevel="0" collapsed="false">
      <c r="A427" s="0" t="s">
        <v>222</v>
      </c>
      <c r="C427" s="0" t="n">
        <f aca="false">C425*(1-Assumptions!$B$6)*Scenario_Inputs!$C$47*(1+(1-Assumptions!$B$26)*Assumptions!$B$21*Assumptions!$B$27)</f>
        <v>0</v>
      </c>
      <c r="D427" s="0" t="n">
        <f aca="false">D425*(1-Assumptions!$B$6)*Scenario_Inputs!$C$47*(1+(1-Assumptions!$B$26)*Assumptions!$B$21*Assumptions!$B$27)</f>
        <v>19697.755</v>
      </c>
      <c r="E427" s="0" t="n">
        <f aca="false">E425*(1-Assumptions!$B$6)*Scenario_Inputs!$C$47*(1+(1-Assumptions!$B$26)*Assumptions!$B$21*Assumptions!$B$27)</f>
        <v>42941.1059</v>
      </c>
      <c r="F427" s="0" t="n">
        <f aca="false">F425*(1-Assumptions!$B$6)*Scenario_Inputs!$C$47*(1+(1-Assumptions!$B$26)*Assumptions!$B$21*Assumptions!$B$27)</f>
        <v>69730.0527</v>
      </c>
      <c r="G427" s="0" t="n">
        <f aca="false">G425*(1-Assumptions!$B$6)*Scenario_Inputs!$C$47*(1+(1-Assumptions!$B$26)*Assumptions!$B$21*Assumptions!$B$27)</f>
        <v>80366.8404</v>
      </c>
      <c r="H427" s="0" t="n">
        <f aca="false">H425*(1-Assumptions!$B$6)*Scenario_Inputs!$C$47*(1+(1-Assumptions!$B$26)*Assumptions!$B$21*Assumptions!$B$27)</f>
        <v>110701.3831</v>
      </c>
      <c r="I427" s="0" t="n">
        <f aca="false">I425*(1-Assumptions!$B$6)*Scenario_Inputs!$C$47*(1+(1-Assumptions!$B$26)*Assumptions!$B$21*Assumptions!$B$27)</f>
        <v>124883.7667</v>
      </c>
      <c r="J427" s="0" t="n">
        <f aca="false">J425*(1-Assumptions!$B$6)*Scenario_Inputs!$C$47*(1+(1-Assumptions!$B$26)*Assumptions!$B$21*Assumptions!$B$27)</f>
        <v>158763.9053</v>
      </c>
      <c r="K427" s="0" t="n">
        <f aca="false">K425*(1-Assumptions!$B$6)*Scenario_Inputs!$C$47*(1+(1-Assumptions!$B$26)*Assumptions!$B$21*Assumptions!$B$27)</f>
        <v>176491.8848</v>
      </c>
      <c r="L427" s="0" t="n">
        <f aca="false">L425*(1-Assumptions!$B$6)*Scenario_Inputs!$C$47*(1+(1-Assumptions!$B$26)*Assumptions!$B$21*Assumptions!$B$27)</f>
        <v>194219.8643</v>
      </c>
      <c r="M427" s="0" t="n">
        <f aca="false">M425*(1-Assumptions!$B$6)*Scenario_Inputs!$C$47*(1+(1-Assumptions!$B$26)*Assumptions!$B$21*Assumptions!$B$27)</f>
        <v>231645.5988</v>
      </c>
      <c r="N427" s="0" t="n">
        <f aca="false">N425*(1-Assumptions!$B$6)*Scenario_Inputs!$C$47*(1+(1-Assumptions!$B$26)*Assumptions!$B$21*Assumptions!$B$27)</f>
        <v>252919.1742</v>
      </c>
      <c r="O427" s="0" t="n">
        <f aca="false">SUM(C427:N427)</f>
        <v>1462361.3312</v>
      </c>
    </row>
    <row r="428" customFormat="false" ht="15" hidden="false" customHeight="false" outlineLevel="0" collapsed="false">
      <c r="A428" s="0" t="s">
        <v>223</v>
      </c>
      <c r="C428" s="0" t="n">
        <f aca="false">C426*(Assumptions!$B$7+Assumptions!$B$8)</f>
        <v>0</v>
      </c>
      <c r="D428" s="0" t="n">
        <f aca="false">D426*(Assumptions!$B$7+Assumptions!$B$8)</f>
        <v>1603.125</v>
      </c>
      <c r="E428" s="0" t="n">
        <f aca="false">E426*(Assumptions!$B$7+Assumptions!$B$8)</f>
        <v>3494.8125</v>
      </c>
      <c r="F428" s="0" t="n">
        <f aca="false">F426*(Assumptions!$B$7+Assumptions!$B$8)</f>
        <v>5675.0625</v>
      </c>
      <c r="G428" s="0" t="n">
        <f aca="false">G426*(Assumptions!$B$7+Assumptions!$B$8)</f>
        <v>6540.75</v>
      </c>
      <c r="H428" s="0" t="n">
        <f aca="false">H426*(Assumptions!$B$7+Assumptions!$B$8)</f>
        <v>9009.5625</v>
      </c>
      <c r="I428" s="0" t="n">
        <f aca="false">I426*(Assumptions!$B$7+Assumptions!$B$8)</f>
        <v>10163.8125</v>
      </c>
      <c r="J428" s="0" t="n">
        <f aca="false">J426*(Assumptions!$B$7+Assumptions!$B$8)</f>
        <v>12921.1875</v>
      </c>
      <c r="K428" s="0" t="n">
        <f aca="false">K426*(Assumptions!$B$7+Assumptions!$B$8)</f>
        <v>14364</v>
      </c>
      <c r="L428" s="0" t="n">
        <f aca="false">L426*(Assumptions!$B$7+Assumptions!$B$8)</f>
        <v>15806.8125</v>
      </c>
      <c r="M428" s="0" t="n">
        <f aca="false">M426*(Assumptions!$B$7+Assumptions!$B$8)</f>
        <v>18852.75</v>
      </c>
      <c r="N428" s="0" t="n">
        <f aca="false">N426*(Assumptions!$B$7+Assumptions!$B$8)</f>
        <v>20584.125</v>
      </c>
      <c r="O428" s="0" t="n">
        <f aca="false">SUM(C428:N428)</f>
        <v>119016</v>
      </c>
    </row>
    <row r="429" customFormat="false" ht="15" hidden="false" customHeight="false" outlineLevel="0" collapsed="false">
      <c r="A429" s="0" t="s">
        <v>198</v>
      </c>
      <c r="C429" s="0" t="n">
        <f aca="false">C426-C427-C428</f>
        <v>0</v>
      </c>
      <c r="D429" s="0" t="n">
        <f aca="false">D426-D427-D428</f>
        <v>5417.87</v>
      </c>
      <c r="E429" s="0" t="n">
        <f aca="false">E426-E427-E428</f>
        <v>11810.9566</v>
      </c>
      <c r="F429" s="0" t="n">
        <f aca="false">F426-F427-F428</f>
        <v>19179.2598</v>
      </c>
      <c r="G429" s="0" t="n">
        <f aca="false">G426-G427-G428</f>
        <v>22104.9096</v>
      </c>
      <c r="H429" s="0" t="n">
        <f aca="false">H426-H427-H428</f>
        <v>30448.4294</v>
      </c>
      <c r="I429" s="0" t="n">
        <f aca="false">I426-I427-I428</f>
        <v>34349.2958</v>
      </c>
      <c r="J429" s="0" t="n">
        <f aca="false">J426-J427-J428</f>
        <v>43668.0322</v>
      </c>
      <c r="K429" s="0" t="n">
        <f aca="false">K426-K427-K428</f>
        <v>48544.1152</v>
      </c>
      <c r="L429" s="0" t="n">
        <f aca="false">L426-L427-L428</f>
        <v>53420.1982</v>
      </c>
      <c r="M429" s="0" t="n">
        <f aca="false">M426-M427-M428</f>
        <v>63714.1512</v>
      </c>
      <c r="N429" s="0" t="n">
        <f aca="false">N426-N427-N428</f>
        <v>69565.4508</v>
      </c>
      <c r="O429" s="0" t="n">
        <f aca="false">SUM(C429:N429)</f>
        <v>402222.6688</v>
      </c>
    </row>
    <row r="430" customFormat="false" ht="15" hidden="false" customHeight="false" outlineLevel="0" collapsed="false">
      <c r="A430" s="0" t="s">
        <v>224</v>
      </c>
      <c r="C430" s="0" t="n">
        <f aca="false">Assumptions!$B$29</f>
        <v>32500</v>
      </c>
      <c r="D430" s="0" t="n">
        <f aca="false">Assumptions!$B$29</f>
        <v>32500</v>
      </c>
      <c r="E430" s="0" t="n">
        <f aca="false">Assumptions!$B$29</f>
        <v>32500</v>
      </c>
      <c r="F430" s="0" t="n">
        <f aca="false">Assumptions!$B$29</f>
        <v>32500</v>
      </c>
      <c r="G430" s="0" t="n">
        <f aca="false">Assumptions!$B$29</f>
        <v>32500</v>
      </c>
      <c r="H430" s="0" t="n">
        <f aca="false">Assumptions!$B$29</f>
        <v>32500</v>
      </c>
      <c r="I430" s="0" t="n">
        <f aca="false">Assumptions!$B$29</f>
        <v>32500</v>
      </c>
      <c r="J430" s="0" t="n">
        <f aca="false">Assumptions!$B$29</f>
        <v>32500</v>
      </c>
      <c r="K430" s="0" t="n">
        <f aca="false">Assumptions!$B$29</f>
        <v>32500</v>
      </c>
      <c r="L430" s="0" t="n">
        <f aca="false">Assumptions!$B$29</f>
        <v>32500</v>
      </c>
      <c r="M430" s="0" t="n">
        <f aca="false">Assumptions!$B$29</f>
        <v>32500</v>
      </c>
      <c r="N430" s="0" t="n">
        <f aca="false">Assumptions!$B$29</f>
        <v>32500</v>
      </c>
      <c r="O430" s="0" t="n">
        <f aca="false">SUM(C430:N430)</f>
        <v>390000</v>
      </c>
    </row>
    <row r="431" customFormat="false" ht="15" hidden="false" customHeight="false" outlineLevel="0" collapsed="false">
      <c r="A431" s="0" t="s">
        <v>225</v>
      </c>
      <c r="C431" s="0" t="n">
        <f aca="false">Scenario_Inputs!G$49</f>
        <v>0</v>
      </c>
      <c r="D431" s="0" t="n">
        <f aca="false">Scenario_Inputs!H$49</f>
        <v>0</v>
      </c>
      <c r="E431" s="0" t="n">
        <f aca="false">Scenario_Inputs!I$49</f>
        <v>0</v>
      </c>
      <c r="F431" s="0" t="n">
        <f aca="false">Scenario_Inputs!J$49</f>
        <v>25000</v>
      </c>
      <c r="G431" s="0" t="n">
        <f aca="false">Scenario_Inputs!K$49</f>
        <v>0</v>
      </c>
      <c r="H431" s="0" t="n">
        <f aca="false">Scenario_Inputs!L$49</f>
        <v>0</v>
      </c>
      <c r="I431" s="0" t="n">
        <f aca="false">Scenario_Inputs!M$49</f>
        <v>0</v>
      </c>
      <c r="J431" s="0" t="n">
        <f aca="false">Scenario_Inputs!N$49</f>
        <v>20000</v>
      </c>
      <c r="K431" s="0" t="n">
        <f aca="false">Scenario_Inputs!O$49</f>
        <v>0</v>
      </c>
      <c r="L431" s="0" t="n">
        <f aca="false">Scenario_Inputs!P$49</f>
        <v>0</v>
      </c>
      <c r="M431" s="0" t="n">
        <f aca="false">Scenario_Inputs!Q$49</f>
        <v>0</v>
      </c>
      <c r="N431" s="0" t="n">
        <f aca="false">Scenario_Inputs!R$49</f>
        <v>0</v>
      </c>
      <c r="O431" s="0" t="n">
        <f aca="false">SUM(C431:N431)</f>
        <v>45000</v>
      </c>
    </row>
    <row r="432" customFormat="false" ht="15" hidden="false" customHeight="false" outlineLevel="0" collapsed="false">
      <c r="A432" s="0" t="s">
        <v>226</v>
      </c>
      <c r="C432" s="0" t="n">
        <f aca="false">C429-C430-C431</f>
        <v>-32500</v>
      </c>
      <c r="D432" s="0" t="n">
        <f aca="false">D429-D430-D431</f>
        <v>-27082.13</v>
      </c>
      <c r="E432" s="0" t="n">
        <f aca="false">E429-E430-E431</f>
        <v>-20689.0434</v>
      </c>
      <c r="F432" s="0" t="n">
        <f aca="false">F429-F430-F431</f>
        <v>-38320.7402</v>
      </c>
      <c r="G432" s="0" t="n">
        <f aca="false">G429-G430-G431</f>
        <v>-10395.0904</v>
      </c>
      <c r="H432" s="0" t="n">
        <f aca="false">H429-H430-H431</f>
        <v>-2051.57060000001</v>
      </c>
      <c r="I432" s="0" t="n">
        <f aca="false">I429-I430-I431</f>
        <v>1849.29579999998</v>
      </c>
      <c r="J432" s="0" t="n">
        <f aca="false">J429-J430-J431</f>
        <v>-8831.96780000001</v>
      </c>
      <c r="K432" s="0" t="n">
        <f aca="false">K429-K430-K431</f>
        <v>16044.1152</v>
      </c>
      <c r="L432" s="0" t="n">
        <f aca="false">L429-L430-L431</f>
        <v>20920.1982</v>
      </c>
      <c r="M432" s="0" t="n">
        <f aca="false">M429-M430-M431</f>
        <v>31214.1512</v>
      </c>
      <c r="N432" s="0" t="n">
        <f aca="false">N429-N430-N431</f>
        <v>37065.4508</v>
      </c>
      <c r="O432" s="0" t="n">
        <f aca="false">SUM(C432:N432)</f>
        <v>-32777.3312000001</v>
      </c>
    </row>
    <row r="433" customFormat="false" ht="15" hidden="false" customHeight="false" outlineLevel="0" collapsed="false">
      <c r="A433" s="0" t="s">
        <v>227</v>
      </c>
      <c r="C433" s="0" t="n">
        <f aca="false">IF(C420&gt;=Assumptions!$B$13,Assumptions!$B$12,0)</f>
        <v>0</v>
      </c>
      <c r="D433" s="0" t="n">
        <f aca="false">IF(D420&gt;=Assumptions!$B$13,Assumptions!$B$12,0)</f>
        <v>0</v>
      </c>
      <c r="E433" s="0" t="n">
        <f aca="false">IF(E420&gt;=Assumptions!$B$13,Assumptions!$B$12,0)</f>
        <v>0</v>
      </c>
      <c r="F433" s="0" t="n">
        <f aca="false">IF(F420&gt;=Assumptions!$B$13,Assumptions!$B$12,0)</f>
        <v>0</v>
      </c>
      <c r="G433" s="0" t="n">
        <f aca="false">IF(G420&gt;=Assumptions!$B$13,Assumptions!$B$12,0)</f>
        <v>0</v>
      </c>
      <c r="H433" s="0" t="n">
        <f aca="false">IF(H420&gt;=Assumptions!$B$13,Assumptions!$B$12,0)</f>
        <v>0</v>
      </c>
      <c r="I433" s="0" t="n">
        <f aca="false">IF(I420&gt;=Assumptions!$B$13,Assumptions!$B$12,0)</f>
        <v>15000</v>
      </c>
      <c r="J433" s="0" t="n">
        <f aca="false">IF(J420&gt;=Assumptions!$B$13,Assumptions!$B$12,0)</f>
        <v>15000</v>
      </c>
      <c r="K433" s="0" t="n">
        <f aca="false">IF(K420&gt;=Assumptions!$B$13,Assumptions!$B$12,0)</f>
        <v>15000</v>
      </c>
      <c r="L433" s="0" t="n">
        <f aca="false">IF(L420&gt;=Assumptions!$B$13,Assumptions!$B$12,0)</f>
        <v>15000</v>
      </c>
      <c r="M433" s="0" t="n">
        <f aca="false">IF(M420&gt;=Assumptions!$B$13,Assumptions!$B$12,0)</f>
        <v>15000</v>
      </c>
      <c r="N433" s="0" t="n">
        <f aca="false">IF(N420&gt;=Assumptions!$B$13,Assumptions!$B$12,0)</f>
        <v>15000</v>
      </c>
      <c r="O433" s="0" t="n">
        <f aca="false">SUM(C433:N433)</f>
        <v>90000</v>
      </c>
    </row>
    <row r="434" customFormat="false" ht="15" hidden="false" customHeight="false" outlineLevel="0" collapsed="false">
      <c r="A434" s="0" t="s">
        <v>228</v>
      </c>
      <c r="C434" s="0" t="n">
        <f aca="false">C432-C433</f>
        <v>-32500</v>
      </c>
      <c r="D434" s="0" t="n">
        <f aca="false">D432-D433</f>
        <v>-27082.13</v>
      </c>
      <c r="E434" s="0" t="n">
        <f aca="false">E432-E433</f>
        <v>-20689.0434</v>
      </c>
      <c r="F434" s="0" t="n">
        <f aca="false">F432-F433</f>
        <v>-38320.7402</v>
      </c>
      <c r="G434" s="0" t="n">
        <f aca="false">G432-G433</f>
        <v>-10395.0904</v>
      </c>
      <c r="H434" s="0" t="n">
        <f aca="false">H432-H433</f>
        <v>-2051.57060000001</v>
      </c>
      <c r="I434" s="0" t="n">
        <f aca="false">I432-I433</f>
        <v>-13150.7042</v>
      </c>
      <c r="J434" s="0" t="n">
        <f aca="false">J432-J433</f>
        <v>-23831.9678</v>
      </c>
      <c r="K434" s="0" t="n">
        <f aca="false">K432-K433</f>
        <v>1044.11519999997</v>
      </c>
      <c r="L434" s="0" t="n">
        <f aca="false">L432-L433</f>
        <v>5920.19819999998</v>
      </c>
      <c r="M434" s="0" t="n">
        <f aca="false">M432-M433</f>
        <v>16214.1512</v>
      </c>
      <c r="N434" s="0" t="n">
        <f aca="false">N432-N433</f>
        <v>22065.4508</v>
      </c>
      <c r="O434" s="0" t="n">
        <f aca="false">SUM(C434:N434)</f>
        <v>-122777.3312</v>
      </c>
    </row>
    <row r="435" customFormat="false" ht="15" hidden="false" customHeight="false" outlineLevel="0" collapsed="false">
      <c r="A435" s="0" t="s">
        <v>229</v>
      </c>
      <c r="C435" s="0" t="n">
        <f aca="false">Assumptions!$B$9*C426+(1-Assumptions!$B$9)*IF(C420-$Q$419&gt;=1,INDEX($C426:$N426,C420-$Q$419),0)</f>
        <v>0</v>
      </c>
      <c r="D435" s="0" t="n">
        <f aca="false">Assumptions!$B$9*D426+(1-Assumptions!$B$9)*IF(D420-$Q$419&gt;=1,INDEX($C426:$N426,D420-$Q$419),0)</f>
        <v>13359.375</v>
      </c>
      <c r="E435" s="0" t="n">
        <f aca="false">Assumptions!$B$9*E426+(1-Assumptions!$B$9)*IF(E420-$Q$419&gt;=1,INDEX($C426:$N426,E420-$Q$419),0)</f>
        <v>42482.8125</v>
      </c>
      <c r="F435" s="0" t="n">
        <f aca="false">Assumptions!$B$9*F426+(1-Assumptions!$B$9)*IF(F420-$Q$419&gt;=1,INDEX($C426:$N426,F420-$Q$419),0)</f>
        <v>76415.625</v>
      </c>
      <c r="G435" s="0" t="n">
        <f aca="false">Assumptions!$B$9*G426+(1-Assumptions!$B$9)*IF(G420-$Q$419&gt;=1,INDEX($C426:$N426,G420-$Q$419),0)</f>
        <v>101798.4375</v>
      </c>
      <c r="H435" s="0" t="n">
        <f aca="false">Assumptions!$B$9*H426+(1-Assumptions!$B$9)*IF(H420-$Q$419&gt;=1,INDEX($C426:$N426,H420-$Q$419),0)</f>
        <v>129585.9375</v>
      </c>
      <c r="I435" s="0" t="n">
        <f aca="false">Assumptions!$B$9*I426+(1-Assumptions!$B$9)*IF(I420-$Q$419&gt;=1,INDEX($C426:$N426,I420-$Q$419),0)</f>
        <v>159778.125</v>
      </c>
      <c r="J435" s="0" t="n">
        <f aca="false">Assumptions!$B$9*J426+(1-Assumptions!$B$9)*IF(J420-$Q$419&gt;=1,INDEX($C426:$N426,J420-$Q$419),0)</f>
        <v>192375</v>
      </c>
      <c r="K435" s="0" t="n">
        <f aca="false">Assumptions!$B$9*K426+(1-Assumptions!$B$9)*IF(K420-$Q$419&gt;=1,INDEX($C426:$N426,K420-$Q$419),0)</f>
        <v>227376.5625</v>
      </c>
      <c r="L435" s="0" t="n">
        <f aca="false">Assumptions!$B$9*L426+(1-Assumptions!$B$9)*IF(L420-$Q$419&gt;=1,INDEX($C426:$N426,L420-$Q$419),0)</f>
        <v>251423.4375</v>
      </c>
      <c r="M435" s="0" t="n">
        <f aca="false">Assumptions!$B$9*M426+(1-Assumptions!$B$9)*IF(M420-$Q$419&gt;=1,INDEX($C426:$N426,M420-$Q$419),0)</f>
        <v>288829.6875</v>
      </c>
      <c r="N435" s="0" t="n">
        <f aca="false">Assumptions!$B$9*N426+(1-Assumptions!$B$9)*IF(N420-$Q$419&gt;=1,INDEX($C426:$N426,N420-$Q$419),0)</f>
        <v>328640.625</v>
      </c>
      <c r="O435" s="0" t="n">
        <f aca="false">SUM(C435:N435)</f>
        <v>1812065.625</v>
      </c>
    </row>
    <row r="436" customFormat="false" ht="15" hidden="false" customHeight="false" outlineLevel="0" collapsed="false">
      <c r="A436" s="0" t="s">
        <v>230</v>
      </c>
      <c r="C436" s="0" t="n">
        <f aca="false">C427+C428+C430+C431+C433</f>
        <v>32500</v>
      </c>
      <c r="D436" s="0" t="n">
        <f aca="false">D427+D428+D430+D431+D433</f>
        <v>53800.88</v>
      </c>
      <c r="E436" s="0" t="n">
        <f aca="false">E427+E428+E430+E431+E433</f>
        <v>78935.9184</v>
      </c>
      <c r="F436" s="0" t="n">
        <f aca="false">F427+F428+F430+F431+F433</f>
        <v>132905.1152</v>
      </c>
      <c r="G436" s="0" t="n">
        <f aca="false">G427+G428+G430+G431+G433</f>
        <v>119407.5904</v>
      </c>
      <c r="H436" s="0" t="n">
        <f aca="false">H427+H428+H430+H431+H433</f>
        <v>152210.9456</v>
      </c>
      <c r="I436" s="0" t="n">
        <f aca="false">I427+I428+I430+I431+I433</f>
        <v>182547.5792</v>
      </c>
      <c r="J436" s="0" t="n">
        <f aca="false">J427+J428+J430+J431+J433</f>
        <v>239185.0928</v>
      </c>
      <c r="K436" s="0" t="n">
        <f aca="false">K427+K428+K430+K431+K433</f>
        <v>238355.8848</v>
      </c>
      <c r="L436" s="0" t="n">
        <f aca="false">L427+L428+L430+L431+L433</f>
        <v>257526.6768</v>
      </c>
      <c r="M436" s="0" t="n">
        <f aca="false">M427+M428+M430+M431+M433</f>
        <v>297998.3488</v>
      </c>
      <c r="N436" s="0" t="n">
        <f aca="false">N427+N428+N430+N431+N433</f>
        <v>321003.2992</v>
      </c>
      <c r="O436" s="0" t="n">
        <f aca="false">SUM(C436:N436)</f>
        <v>2106377.3312</v>
      </c>
    </row>
    <row r="437" customFormat="false" ht="15" hidden="false" customHeight="false" outlineLevel="0" collapsed="false">
      <c r="A437" s="0" t="s">
        <v>231</v>
      </c>
      <c r="C437" s="0" t="n">
        <f aca="false">C435-C436</f>
        <v>-32500</v>
      </c>
      <c r="D437" s="0" t="n">
        <f aca="false">D435-D436</f>
        <v>-40441.505</v>
      </c>
      <c r="E437" s="0" t="n">
        <f aca="false">E435-E436</f>
        <v>-36453.1059</v>
      </c>
      <c r="F437" s="0" t="n">
        <f aca="false">F435-F436</f>
        <v>-56489.4902</v>
      </c>
      <c r="G437" s="0" t="n">
        <f aca="false">G435-G436</f>
        <v>-17609.1529</v>
      </c>
      <c r="H437" s="0" t="n">
        <f aca="false">H435-H436</f>
        <v>-22625.0081</v>
      </c>
      <c r="I437" s="0" t="n">
        <f aca="false">I435-I436</f>
        <v>-22769.4542</v>
      </c>
      <c r="J437" s="0" t="n">
        <f aca="false">J435-J436</f>
        <v>-46810.0928</v>
      </c>
      <c r="K437" s="0" t="n">
        <f aca="false">K435-K436</f>
        <v>-10979.3223000001</v>
      </c>
      <c r="L437" s="0" t="n">
        <f aca="false">L435-L436</f>
        <v>-6103.23930000002</v>
      </c>
      <c r="M437" s="0" t="n">
        <f aca="false">M435-M436</f>
        <v>-9168.66130000004</v>
      </c>
      <c r="N437" s="0" t="n">
        <f aca="false">N435-N436</f>
        <v>7637.32579999999</v>
      </c>
      <c r="O437" s="0" t="n">
        <f aca="false">SUM(C437:N437)</f>
        <v>-294311.7062</v>
      </c>
    </row>
    <row r="438" customFormat="false" ht="15" hidden="false" customHeight="false" outlineLevel="0" collapsed="false">
      <c r="A438" s="0" t="s">
        <v>232</v>
      </c>
      <c r="C438" s="0" t="n">
        <f aca="false">Capital_Allocation!$C$20+C437</f>
        <v>202500</v>
      </c>
      <c r="D438" s="0" t="n">
        <f aca="false">C438+D437</f>
        <v>162058.495</v>
      </c>
      <c r="E438" s="0" t="n">
        <f aca="false">D438+E437</f>
        <v>125605.3891</v>
      </c>
      <c r="F438" s="0" t="n">
        <f aca="false">E438+F437</f>
        <v>69115.8989</v>
      </c>
      <c r="G438" s="0" t="n">
        <f aca="false">F438+G437</f>
        <v>51506.746</v>
      </c>
      <c r="H438" s="0" t="n">
        <f aca="false">G438+H437</f>
        <v>28881.7379</v>
      </c>
      <c r="I438" s="0" t="n">
        <f aca="false">H438+I437</f>
        <v>6112.28369999994</v>
      </c>
      <c r="J438" s="0" t="n">
        <f aca="false">I438+J437</f>
        <v>-40697.8091000001</v>
      </c>
      <c r="K438" s="0" t="n">
        <f aca="false">J438+K437</f>
        <v>-51677.1314000001</v>
      </c>
      <c r="L438" s="0" t="n">
        <f aca="false">K438+L437</f>
        <v>-57780.3707000001</v>
      </c>
      <c r="M438" s="0" t="n">
        <f aca="false">L438+M437</f>
        <v>-66949.0320000002</v>
      </c>
      <c r="N438" s="0" t="n">
        <f aca="false">M438+N437</f>
        <v>-59311.7062000002</v>
      </c>
    </row>
    <row r="439" customFormat="false" ht="15" hidden="false" customHeight="false" outlineLevel="0" collapsed="false">
      <c r="A439" s="0" t="s">
        <v>233</v>
      </c>
      <c r="C439" s="0" t="n">
        <f aca="false">SUM($C426:C426)-SUM($C435:C435)</f>
        <v>0</v>
      </c>
      <c r="D439" s="0" t="n">
        <f aca="false">SUM($C426:D426)-SUM($C435:D435)</f>
        <v>13359.375</v>
      </c>
      <c r="E439" s="0" t="n">
        <f aca="false">SUM($C426:E426)-SUM($C435:E435)</f>
        <v>29123.4375</v>
      </c>
      <c r="F439" s="0" t="n">
        <f aca="false">SUM($C426:F426)-SUM($C435:F435)</f>
        <v>47292.1875</v>
      </c>
      <c r="G439" s="0" t="n">
        <f aca="false">SUM($C426:G426)-SUM($C435:G435)</f>
        <v>54506.25</v>
      </c>
      <c r="H439" s="0" t="n">
        <f aca="false">SUM($C426:H426)-SUM($C435:H435)</f>
        <v>75079.6875</v>
      </c>
      <c r="I439" s="0" t="n">
        <f aca="false">SUM($C426:I426)-SUM($C435:I435)</f>
        <v>84698.4375</v>
      </c>
      <c r="J439" s="0" t="n">
        <f aca="false">SUM($C426:J426)-SUM($C435:J435)</f>
        <v>107676.5625</v>
      </c>
      <c r="K439" s="0" t="n">
        <f aca="false">SUM($C426:K426)-SUM($C435:K435)</f>
        <v>119700</v>
      </c>
      <c r="L439" s="0" t="n">
        <f aca="false">SUM($C426:L426)-SUM($C435:L435)</f>
        <v>131723.4375</v>
      </c>
      <c r="M439" s="0" t="n">
        <f aca="false">SUM($C426:M426)-SUM($C435:M435)</f>
        <v>157106.25</v>
      </c>
      <c r="N439" s="0" t="n">
        <f aca="false">SUM($C426:N426)-SUM($C435:N435)</f>
        <v>171534.375</v>
      </c>
    </row>
    <row r="440" customFormat="false" ht="15" hidden="false" customHeight="false" outlineLevel="0" collapsed="false">
      <c r="A440" s="0" t="s">
        <v>234</v>
      </c>
      <c r="C440" s="0" t="n">
        <f aca="false">SUM($C434:C434)</f>
        <v>-32500</v>
      </c>
      <c r="D440" s="0" t="n">
        <f aca="false">SUM($C434:D434)</f>
        <v>-59582.13</v>
      </c>
      <c r="E440" s="0" t="n">
        <f aca="false">SUM($C434:E434)</f>
        <v>-80271.1734</v>
      </c>
      <c r="F440" s="0" t="n">
        <f aca="false">SUM($C434:F434)</f>
        <v>-118591.9136</v>
      </c>
      <c r="G440" s="0" t="n">
        <f aca="false">SUM($C434:G434)</f>
        <v>-128987.004</v>
      </c>
      <c r="H440" s="0" t="n">
        <f aca="false">SUM($C434:H434)</f>
        <v>-131038.5746</v>
      </c>
      <c r="I440" s="0" t="n">
        <f aca="false">SUM($C434:I434)</f>
        <v>-144189.2788</v>
      </c>
      <c r="J440" s="0" t="n">
        <f aca="false">SUM($C434:J434)</f>
        <v>-168021.2466</v>
      </c>
      <c r="K440" s="0" t="n">
        <f aca="false">SUM($C434:K434)</f>
        <v>-166977.1314</v>
      </c>
      <c r="L440" s="0" t="n">
        <f aca="false">SUM($C434:L434)</f>
        <v>-161056.9332</v>
      </c>
      <c r="M440" s="0" t="n">
        <f aca="false">SUM($C434:M434)</f>
        <v>-144842.782</v>
      </c>
      <c r="N440" s="0" t="n">
        <f aca="false">SUM($C434:N434)</f>
        <v>-122777.3312</v>
      </c>
    </row>
    <row r="441" customFormat="false" ht="15" hidden="false" customHeight="false" outlineLevel="0" collapsed="false">
      <c r="A441" s="0" t="s">
        <v>235</v>
      </c>
      <c r="C441" s="0" t="n">
        <f aca="false">IF(C434&gt;=0,C420,99)</f>
        <v>99</v>
      </c>
      <c r="D441" s="0" t="n">
        <f aca="false">IF(D434&gt;=0,D420,99)</f>
        <v>99</v>
      </c>
      <c r="E441" s="0" t="n">
        <f aca="false">IF(E434&gt;=0,E420,99)</f>
        <v>99</v>
      </c>
      <c r="F441" s="0" t="n">
        <f aca="false">IF(F434&gt;=0,F420,99)</f>
        <v>99</v>
      </c>
      <c r="G441" s="0" t="n">
        <f aca="false">IF(G434&gt;=0,G420,99)</f>
        <v>99</v>
      </c>
      <c r="H441" s="0" t="n">
        <f aca="false">IF(H434&gt;=0,H420,99)</f>
        <v>99</v>
      </c>
      <c r="I441" s="0" t="n">
        <f aca="false">IF(I434&gt;=0,I420,99)</f>
        <v>99</v>
      </c>
      <c r="J441" s="0" t="n">
        <f aca="false">IF(J434&gt;=0,J420,99)</f>
        <v>99</v>
      </c>
      <c r="K441" s="0" t="n">
        <f aca="false">IF(K434&gt;=0,K420,99)</f>
        <v>9</v>
      </c>
      <c r="L441" s="0" t="n">
        <f aca="false">IF(L434&gt;=0,L420,99)</f>
        <v>10</v>
      </c>
      <c r="M441" s="0" t="n">
        <f aca="false">IF(M434&gt;=0,M420,99)</f>
        <v>11</v>
      </c>
      <c r="N441" s="0" t="n">
        <f aca="false">IF(N434&gt;=0,N420,99)</f>
        <v>12</v>
      </c>
    </row>
    <row r="442" customFormat="false" ht="15" hidden="false" customHeight="false" outlineLevel="0" collapsed="false">
      <c r="A442" s="0" t="s">
        <v>236</v>
      </c>
      <c r="C442" s="0" t="n">
        <f aca="false">IF(C432&gt;=0,C420,99)</f>
        <v>99</v>
      </c>
      <c r="D442" s="0" t="n">
        <f aca="false">IF(D432&gt;=0,D420,99)</f>
        <v>99</v>
      </c>
      <c r="E442" s="0" t="n">
        <f aca="false">IF(E432&gt;=0,E420,99)</f>
        <v>99</v>
      </c>
      <c r="F442" s="0" t="n">
        <f aca="false">IF(F432&gt;=0,F420,99)</f>
        <v>99</v>
      </c>
      <c r="G442" s="0" t="n">
        <f aca="false">IF(G432&gt;=0,G420,99)</f>
        <v>99</v>
      </c>
      <c r="H442" s="0" t="n">
        <f aca="false">IF(H432&gt;=0,H420,99)</f>
        <v>99</v>
      </c>
      <c r="I442" s="0" t="n">
        <f aca="false">IF(I432&gt;=0,I420,99)</f>
        <v>7</v>
      </c>
      <c r="J442" s="0" t="n">
        <f aca="false">IF(J432&gt;=0,J420,99)</f>
        <v>99</v>
      </c>
      <c r="K442" s="0" t="n">
        <f aca="false">IF(K432&gt;=0,K420,99)</f>
        <v>9</v>
      </c>
      <c r="L442" s="0" t="n">
        <f aca="false">IF(L432&gt;=0,L420,99)</f>
        <v>10</v>
      </c>
      <c r="M442" s="0" t="n">
        <f aca="false">IF(M432&gt;=0,M420,99)</f>
        <v>11</v>
      </c>
      <c r="N442" s="0" t="n">
        <f aca="false">IF(N432&gt;=0,N420,99)</f>
        <v>12</v>
      </c>
    </row>
    <row r="443" customFormat="false" ht="15" hidden="false" customHeight="false" outlineLevel="0" collapsed="false">
      <c r="A443" s="5" t="s">
        <v>237</v>
      </c>
      <c r="B443" s="3" t="n">
        <f aca="false">O426</f>
        <v>1983600</v>
      </c>
    </row>
    <row r="444" customFormat="false" ht="15" hidden="false" customHeight="false" outlineLevel="0" collapsed="false">
      <c r="A444" s="5" t="s">
        <v>238</v>
      </c>
      <c r="B444" s="3" t="n">
        <f aca="false">O429</f>
        <v>402222.6688</v>
      </c>
    </row>
    <row r="445" customFormat="false" ht="15" hidden="false" customHeight="false" outlineLevel="0" collapsed="false">
      <c r="A445" s="5" t="s">
        <v>239</v>
      </c>
      <c r="B445" s="3" t="n">
        <f aca="false">O434</f>
        <v>-122777.3312</v>
      </c>
    </row>
    <row r="446" customFormat="false" ht="15" hidden="false" customHeight="false" outlineLevel="0" collapsed="false">
      <c r="A446" s="5" t="s">
        <v>240</v>
      </c>
      <c r="B446" s="3" t="n">
        <f aca="false">MIN(C438:N438)</f>
        <v>-66949.0320000002</v>
      </c>
    </row>
    <row r="447" customFormat="false" ht="15" hidden="false" customHeight="false" outlineLevel="0" collapsed="false">
      <c r="A447" s="5" t="s">
        <v>241</v>
      </c>
      <c r="B447" s="3" t="n">
        <f aca="false">N438</f>
        <v>-59311.7062000002</v>
      </c>
    </row>
    <row r="448" customFormat="false" ht="15" hidden="false" customHeight="false" outlineLevel="0" collapsed="false">
      <c r="A448" s="5" t="s">
        <v>242</v>
      </c>
      <c r="B448" s="0" t="str">
        <f aca="false">IF(B446&gt;=0,"YES","NO")</f>
        <v>NO</v>
      </c>
    </row>
    <row r="449" customFormat="false" ht="15" hidden="false" customHeight="false" outlineLevel="0" collapsed="false">
      <c r="A449" s="5" t="s">
        <v>243</v>
      </c>
      <c r="B449" s="0" t="str">
        <f aca="false">IF(B446&gt;=Capital_Allocation!$C$16,"YES","NO")</f>
        <v>NO</v>
      </c>
    </row>
    <row r="450" customFormat="false" ht="15" hidden="false" customHeight="false" outlineLevel="0" collapsed="false">
      <c r="A450" s="5" t="s">
        <v>244</v>
      </c>
      <c r="B450" s="3" t="n">
        <f aca="false">IF(MIN(C442:N442)=99,"none in 12 mo",MIN(C442:N442))</f>
        <v>7</v>
      </c>
    </row>
    <row r="451" customFormat="false" ht="15" hidden="false" customHeight="false" outlineLevel="0" collapsed="false">
      <c r="A451" s="5" t="s">
        <v>245</v>
      </c>
      <c r="B451" s="3" t="n">
        <f aca="false">N434</f>
        <v>22065.4508</v>
      </c>
    </row>
    <row r="452" customFormat="false" ht="15" hidden="false" customHeight="false" outlineLevel="0" collapsed="false">
      <c r="A452" s="5" t="s">
        <v>246</v>
      </c>
      <c r="B452" s="3" t="n">
        <f aca="false">N439</f>
        <v>171534.375</v>
      </c>
    </row>
    <row r="453" customFormat="false" ht="15" hidden="false" customHeight="false" outlineLevel="0" collapsed="false">
      <c r="A453" s="5" t="s">
        <v>247</v>
      </c>
      <c r="B453" s="3" t="n">
        <f aca="false">IF(MIN(C441:N441)=99,"none in 12 mo",MIN(C441:N441))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2" style="0" width="12"/>
  </cols>
  <sheetData>
    <row r="1" customFormat="false" ht="15" hidden="false" customHeight="false" outlineLevel="0" collapsed="false">
      <c r="A1" s="1" t="s">
        <v>259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260</v>
      </c>
    </row>
    <row r="2" customFormat="false" ht="15" hidden="false" customHeight="false" outlineLevel="0" collapsed="false">
      <c r="A2" s="0" t="s">
        <v>216</v>
      </c>
      <c r="B2" s="0" t="n">
        <f aca="false">Engine!C41</f>
        <v>0</v>
      </c>
      <c r="C2" s="0" t="n">
        <f aca="false">Engine!D41</f>
        <v>1</v>
      </c>
      <c r="D2" s="0" t="n">
        <f aca="false">Engine!E41</f>
        <v>2</v>
      </c>
      <c r="E2" s="0" t="n">
        <f aca="false">Engine!F41</f>
        <v>3</v>
      </c>
      <c r="F2" s="0" t="n">
        <f aca="false">Engine!G41</f>
        <v>3</v>
      </c>
      <c r="G2" s="0" t="n">
        <f aca="false">Engine!H41</f>
        <v>4</v>
      </c>
      <c r="H2" s="0" t="n">
        <f aca="false">Engine!I41</f>
        <v>4</v>
      </c>
      <c r="I2" s="0" t="n">
        <f aca="false">Engine!J41</f>
        <v>5</v>
      </c>
      <c r="J2" s="0" t="n">
        <f aca="false">Engine!K41</f>
        <v>5</v>
      </c>
      <c r="K2" s="0" t="n">
        <f aca="false">Engine!L41</f>
        <v>5</v>
      </c>
      <c r="L2" s="0" t="n">
        <f aca="false">Engine!M41</f>
        <v>6</v>
      </c>
      <c r="M2" s="0" t="n">
        <f aca="false">Engine!N41</f>
        <v>6</v>
      </c>
      <c r="N2" s="0" t="n">
        <f aca="false">SUM(B2:M2)</f>
        <v>44</v>
      </c>
    </row>
    <row r="3" customFormat="false" ht="15" hidden="false" customHeight="false" outlineLevel="0" collapsed="false">
      <c r="A3" s="0" t="s">
        <v>217</v>
      </c>
      <c r="B3" s="0" t="n">
        <f aca="false">Engine!C42</f>
        <v>0</v>
      </c>
      <c r="C3" s="0" t="n">
        <f aca="false">Engine!D42</f>
        <v>0</v>
      </c>
      <c r="D3" s="0" t="n">
        <f aca="false">Engine!E42</f>
        <v>1</v>
      </c>
      <c r="E3" s="0" t="n">
        <f aca="false">Engine!F42</f>
        <v>3</v>
      </c>
      <c r="F3" s="0" t="n">
        <f aca="false">Engine!G42</f>
        <v>6</v>
      </c>
      <c r="G3" s="0" t="n">
        <f aca="false">Engine!H42</f>
        <v>9</v>
      </c>
      <c r="H3" s="0" t="n">
        <f aca="false">Engine!I42</f>
        <v>13</v>
      </c>
      <c r="I3" s="0" t="n">
        <f aca="false">Engine!J42</f>
        <v>17</v>
      </c>
      <c r="J3" s="0" t="n">
        <f aca="false">Engine!K42</f>
        <v>22</v>
      </c>
      <c r="K3" s="0" t="n">
        <f aca="false">Engine!L42</f>
        <v>27</v>
      </c>
      <c r="L3" s="0" t="n">
        <f aca="false">Engine!M42</f>
        <v>32</v>
      </c>
      <c r="M3" s="0" t="n">
        <f aca="false">Engine!N42</f>
        <v>38</v>
      </c>
    </row>
    <row r="4" customFormat="false" ht="15" hidden="false" customHeight="false" outlineLevel="0" collapsed="false">
      <c r="A4" s="0" t="s">
        <v>218</v>
      </c>
      <c r="B4" s="0" t="n">
        <f aca="false">Engine!C43</f>
        <v>0</v>
      </c>
      <c r="C4" s="0" t="n">
        <f aca="false">Engine!D43</f>
        <v>0</v>
      </c>
      <c r="D4" s="0" t="n">
        <f aca="false">Engine!E43</f>
        <v>0.18</v>
      </c>
      <c r="E4" s="0" t="n">
        <f aca="false">Engine!F43</f>
        <v>0.54</v>
      </c>
      <c r="F4" s="0" t="n">
        <f aca="false">Engine!G43</f>
        <v>1.08</v>
      </c>
      <c r="G4" s="0" t="n">
        <f aca="false">Engine!H43</f>
        <v>1.62</v>
      </c>
      <c r="H4" s="0" t="n">
        <f aca="false">Engine!I43</f>
        <v>2.34</v>
      </c>
      <c r="I4" s="0" t="n">
        <f aca="false">Engine!J43</f>
        <v>3.06</v>
      </c>
      <c r="J4" s="0" t="n">
        <f aca="false">Engine!K43</f>
        <v>3.96</v>
      </c>
      <c r="K4" s="0" t="n">
        <f aca="false">Engine!L43</f>
        <v>4.86</v>
      </c>
      <c r="L4" s="0" t="n">
        <f aca="false">Engine!M43</f>
        <v>5.76</v>
      </c>
      <c r="M4" s="0" t="n">
        <f aca="false">Engine!N43</f>
        <v>6.84</v>
      </c>
      <c r="N4" s="0" t="n">
        <f aca="false">SUM(B4:M4)</f>
        <v>30.24</v>
      </c>
    </row>
    <row r="5" customFormat="false" ht="15" hidden="false" customHeight="false" outlineLevel="0" collapsed="false">
      <c r="A5" s="0" t="s">
        <v>219</v>
      </c>
      <c r="B5" s="0" t="n">
        <f aca="false">Engine!C44</f>
        <v>0</v>
      </c>
      <c r="C5" s="0" t="n">
        <f aca="false">Engine!D44</f>
        <v>1</v>
      </c>
      <c r="D5" s="0" t="n">
        <f aca="false">Engine!E44</f>
        <v>2.18</v>
      </c>
      <c r="E5" s="0" t="n">
        <f aca="false">Engine!F44</f>
        <v>3.54</v>
      </c>
      <c r="F5" s="0" t="n">
        <f aca="false">Engine!G44</f>
        <v>4.08</v>
      </c>
      <c r="G5" s="0" t="n">
        <f aca="false">Engine!H44</f>
        <v>5.62</v>
      </c>
      <c r="H5" s="0" t="n">
        <f aca="false">Engine!I44</f>
        <v>6.34</v>
      </c>
      <c r="I5" s="0" t="n">
        <f aca="false">Engine!J44</f>
        <v>8.06</v>
      </c>
      <c r="J5" s="0" t="n">
        <f aca="false">Engine!K44</f>
        <v>8.96</v>
      </c>
      <c r="K5" s="0" t="n">
        <f aca="false">Engine!L44</f>
        <v>9.86</v>
      </c>
      <c r="L5" s="0" t="n">
        <f aca="false">Engine!M44</f>
        <v>11.76</v>
      </c>
      <c r="M5" s="0" t="n">
        <f aca="false">Engine!N44</f>
        <v>12.84</v>
      </c>
      <c r="N5" s="0" t="n">
        <f aca="false">SUM(B5:M5)</f>
        <v>74.24</v>
      </c>
    </row>
    <row r="6" customFormat="false" ht="15" hidden="false" customHeight="false" outlineLevel="0" collapsed="false">
      <c r="A6" s="0" t="s">
        <v>193</v>
      </c>
      <c r="B6" s="0" t="n">
        <f aca="false">Engine!C46</f>
        <v>0</v>
      </c>
      <c r="C6" s="0" t="n">
        <f aca="false">Engine!D46</f>
        <v>26718.75</v>
      </c>
      <c r="D6" s="0" t="n">
        <f aca="false">Engine!E46</f>
        <v>58246.875</v>
      </c>
      <c r="E6" s="0" t="n">
        <f aca="false">Engine!F46</f>
        <v>94584.375</v>
      </c>
      <c r="F6" s="0" t="n">
        <f aca="false">Engine!G46</f>
        <v>109012.5</v>
      </c>
      <c r="G6" s="0" t="n">
        <f aca="false">Engine!H46</f>
        <v>150159.375</v>
      </c>
      <c r="H6" s="0" t="n">
        <f aca="false">Engine!I46</f>
        <v>169396.875</v>
      </c>
      <c r="I6" s="0" t="n">
        <f aca="false">Engine!J46</f>
        <v>215353.125</v>
      </c>
      <c r="J6" s="0" t="n">
        <f aca="false">Engine!K46</f>
        <v>239400</v>
      </c>
      <c r="K6" s="0" t="n">
        <f aca="false">Engine!L46</f>
        <v>263446.875</v>
      </c>
      <c r="L6" s="0" t="n">
        <f aca="false">Engine!M46</f>
        <v>314212.5</v>
      </c>
      <c r="M6" s="0" t="n">
        <f aca="false">Engine!N46</f>
        <v>343068.75</v>
      </c>
      <c r="N6" s="0" t="n">
        <f aca="false">SUM(B6:M6)</f>
        <v>1983600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2" style="0" width="12"/>
  </cols>
  <sheetData>
    <row r="1" customFormat="false" ht="15" hidden="false" customHeight="false" outlineLevel="0" collapsed="false">
      <c r="A1" s="1" t="s">
        <v>259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260</v>
      </c>
    </row>
    <row r="2" customFormat="false" ht="15" hidden="false" customHeight="false" outlineLevel="0" collapsed="false">
      <c r="A2" s="0" t="s">
        <v>261</v>
      </c>
      <c r="B2" s="0" t="n">
        <f aca="false">Engine!C41</f>
        <v>0</v>
      </c>
      <c r="C2" s="0" t="n">
        <f aca="false">Engine!D41</f>
        <v>1</v>
      </c>
      <c r="D2" s="0" t="n">
        <f aca="false">Engine!E41</f>
        <v>2</v>
      </c>
      <c r="E2" s="0" t="n">
        <f aca="false">Engine!F41</f>
        <v>3</v>
      </c>
      <c r="F2" s="0" t="n">
        <f aca="false">Engine!G41</f>
        <v>3</v>
      </c>
      <c r="G2" s="0" t="n">
        <f aca="false">Engine!H41</f>
        <v>4</v>
      </c>
      <c r="H2" s="0" t="n">
        <f aca="false">Engine!I41</f>
        <v>4</v>
      </c>
      <c r="I2" s="0" t="n">
        <f aca="false">Engine!J41</f>
        <v>5</v>
      </c>
      <c r="J2" s="0" t="n">
        <f aca="false">Engine!K41</f>
        <v>5</v>
      </c>
      <c r="K2" s="0" t="n">
        <f aca="false">Engine!L41</f>
        <v>5</v>
      </c>
      <c r="L2" s="0" t="n">
        <f aca="false">Engine!M41</f>
        <v>6</v>
      </c>
      <c r="M2" s="0" t="n">
        <f aca="false">Engine!N41</f>
        <v>6</v>
      </c>
      <c r="N2" s="0" t="n">
        <f aca="false">SUM(B2:M2)</f>
        <v>44</v>
      </c>
    </row>
    <row r="3" customFormat="false" ht="15" hidden="false" customHeight="false" outlineLevel="0" collapsed="false">
      <c r="A3" s="0" t="s">
        <v>262</v>
      </c>
      <c r="B3" s="0" t="n">
        <f aca="false">Engine!C43</f>
        <v>0</v>
      </c>
      <c r="C3" s="0" t="n">
        <f aca="false">Engine!D43</f>
        <v>0</v>
      </c>
      <c r="D3" s="0" t="n">
        <f aca="false">Engine!E43</f>
        <v>0.18</v>
      </c>
      <c r="E3" s="0" t="n">
        <f aca="false">Engine!F43</f>
        <v>0.54</v>
      </c>
      <c r="F3" s="0" t="n">
        <f aca="false">Engine!G43</f>
        <v>1.08</v>
      </c>
      <c r="G3" s="0" t="n">
        <f aca="false">Engine!H43</f>
        <v>1.62</v>
      </c>
      <c r="H3" s="0" t="n">
        <f aca="false">Engine!I43</f>
        <v>2.34</v>
      </c>
      <c r="I3" s="0" t="n">
        <f aca="false">Engine!J43</f>
        <v>3.06</v>
      </c>
      <c r="J3" s="0" t="n">
        <f aca="false">Engine!K43</f>
        <v>3.96</v>
      </c>
      <c r="K3" s="0" t="n">
        <f aca="false">Engine!L43</f>
        <v>4.86</v>
      </c>
      <c r="L3" s="0" t="n">
        <f aca="false">Engine!M43</f>
        <v>5.76</v>
      </c>
      <c r="M3" s="0" t="n">
        <f aca="false">Engine!N43</f>
        <v>6.84</v>
      </c>
      <c r="N3" s="0" t="n">
        <f aca="false">SUM(B3:M3)</f>
        <v>30.24</v>
      </c>
    </row>
    <row r="4" customFormat="false" ht="15" hidden="false" customHeight="false" outlineLevel="0" collapsed="false">
      <c r="A4" s="0" t="s">
        <v>219</v>
      </c>
      <c r="B4" s="0" t="n">
        <f aca="false">Engine!C44</f>
        <v>0</v>
      </c>
      <c r="C4" s="0" t="n">
        <f aca="false">Engine!D44</f>
        <v>1</v>
      </c>
      <c r="D4" s="0" t="n">
        <f aca="false">Engine!E44</f>
        <v>2.18</v>
      </c>
      <c r="E4" s="0" t="n">
        <f aca="false">Engine!F44</f>
        <v>3.54</v>
      </c>
      <c r="F4" s="0" t="n">
        <f aca="false">Engine!G44</f>
        <v>4.08</v>
      </c>
      <c r="G4" s="0" t="n">
        <f aca="false">Engine!H44</f>
        <v>5.62</v>
      </c>
      <c r="H4" s="0" t="n">
        <f aca="false">Engine!I44</f>
        <v>6.34</v>
      </c>
      <c r="I4" s="0" t="n">
        <f aca="false">Engine!J44</f>
        <v>8.06</v>
      </c>
      <c r="J4" s="0" t="n">
        <f aca="false">Engine!K44</f>
        <v>8.96</v>
      </c>
      <c r="K4" s="0" t="n">
        <f aca="false">Engine!L44</f>
        <v>9.86</v>
      </c>
      <c r="L4" s="0" t="n">
        <f aca="false">Engine!M44</f>
        <v>11.76</v>
      </c>
      <c r="M4" s="0" t="n">
        <f aca="false">Engine!N44</f>
        <v>12.84</v>
      </c>
      <c r="N4" s="0" t="n">
        <f aca="false">SUM(B4:M4)</f>
        <v>74.24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2" style="0" width="12"/>
  </cols>
  <sheetData>
    <row r="1" customFormat="false" ht="15" hidden="false" customHeight="false" outlineLevel="0" collapsed="false">
      <c r="A1" s="1" t="s">
        <v>259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260</v>
      </c>
    </row>
    <row r="2" customFormat="false" ht="15" hidden="false" customHeight="false" outlineLevel="0" collapsed="false">
      <c r="A2" s="0" t="s">
        <v>224</v>
      </c>
      <c r="B2" s="0" t="n">
        <f aca="false">Engine!C50</f>
        <v>32500</v>
      </c>
      <c r="C2" s="0" t="n">
        <f aca="false">Engine!D50</f>
        <v>32500</v>
      </c>
      <c r="D2" s="0" t="n">
        <f aca="false">Engine!E50</f>
        <v>32500</v>
      </c>
      <c r="E2" s="0" t="n">
        <f aca="false">Engine!F50</f>
        <v>32500</v>
      </c>
      <c r="F2" s="0" t="n">
        <f aca="false">Engine!G50</f>
        <v>32500</v>
      </c>
      <c r="G2" s="0" t="n">
        <f aca="false">Engine!H50</f>
        <v>32500</v>
      </c>
      <c r="H2" s="0" t="n">
        <f aca="false">Engine!I50</f>
        <v>32500</v>
      </c>
      <c r="I2" s="0" t="n">
        <f aca="false">Engine!J50</f>
        <v>32500</v>
      </c>
      <c r="J2" s="0" t="n">
        <f aca="false">Engine!K50</f>
        <v>32500</v>
      </c>
      <c r="K2" s="0" t="n">
        <f aca="false">Engine!L50</f>
        <v>32500</v>
      </c>
      <c r="L2" s="0" t="n">
        <f aca="false">Engine!M50</f>
        <v>32500</v>
      </c>
      <c r="M2" s="0" t="n">
        <f aca="false">Engine!N50</f>
        <v>32500</v>
      </c>
      <c r="N2" s="0" t="n">
        <f aca="false">SUM(B2:M2)</f>
        <v>390000</v>
      </c>
    </row>
    <row r="3" customFormat="false" ht="15" hidden="false" customHeight="false" outlineLevel="0" collapsed="false">
      <c r="A3" s="0" t="s">
        <v>225</v>
      </c>
      <c r="B3" s="0" t="n">
        <f aca="false">Engine!C51</f>
        <v>0</v>
      </c>
      <c r="C3" s="0" t="n">
        <f aca="false">Engine!D51</f>
        <v>0</v>
      </c>
      <c r="D3" s="0" t="n">
        <f aca="false">Engine!E51</f>
        <v>0</v>
      </c>
      <c r="E3" s="0" t="n">
        <f aca="false">Engine!F51</f>
        <v>0</v>
      </c>
      <c r="F3" s="0" t="n">
        <f aca="false">Engine!G51</f>
        <v>0</v>
      </c>
      <c r="G3" s="0" t="n">
        <f aca="false">Engine!H51</f>
        <v>0</v>
      </c>
      <c r="H3" s="0" t="n">
        <f aca="false">Engine!I51</f>
        <v>0</v>
      </c>
      <c r="I3" s="0" t="n">
        <f aca="false">Engine!J51</f>
        <v>0</v>
      </c>
      <c r="J3" s="0" t="n">
        <f aca="false">Engine!K51</f>
        <v>0</v>
      </c>
      <c r="K3" s="0" t="n">
        <f aca="false">Engine!L51</f>
        <v>0</v>
      </c>
      <c r="L3" s="0" t="n">
        <f aca="false">Engine!M51</f>
        <v>0</v>
      </c>
      <c r="M3" s="0" t="n">
        <f aca="false">Engine!N51</f>
        <v>0</v>
      </c>
      <c r="N3" s="0" t="n">
        <f aca="false">SUM(B3:M3)</f>
        <v>0</v>
      </c>
    </row>
    <row r="4" customFormat="false" ht="15" hidden="false" customHeight="false" outlineLevel="0" collapsed="false">
      <c r="A4" s="0" t="s">
        <v>227</v>
      </c>
      <c r="B4" s="0" t="n">
        <f aca="false">Engine!C53</f>
        <v>0</v>
      </c>
      <c r="C4" s="0" t="n">
        <f aca="false">Engine!D53</f>
        <v>0</v>
      </c>
      <c r="D4" s="0" t="n">
        <f aca="false">Engine!E53</f>
        <v>0</v>
      </c>
      <c r="E4" s="0" t="n">
        <f aca="false">Engine!F53</f>
        <v>0</v>
      </c>
      <c r="F4" s="0" t="n">
        <f aca="false">Engine!G53</f>
        <v>0</v>
      </c>
      <c r="G4" s="0" t="n">
        <f aca="false">Engine!H53</f>
        <v>0</v>
      </c>
      <c r="H4" s="0" t="n">
        <f aca="false">Engine!I53</f>
        <v>15000</v>
      </c>
      <c r="I4" s="0" t="n">
        <f aca="false">Engine!J53</f>
        <v>15000</v>
      </c>
      <c r="J4" s="0" t="n">
        <f aca="false">Engine!K53</f>
        <v>15000</v>
      </c>
      <c r="K4" s="0" t="n">
        <f aca="false">Engine!L53</f>
        <v>15000</v>
      </c>
      <c r="L4" s="0" t="n">
        <f aca="false">Engine!M53</f>
        <v>15000</v>
      </c>
      <c r="M4" s="0" t="n">
        <f aca="false">Engine!N53</f>
        <v>15000</v>
      </c>
      <c r="N4" s="0" t="n">
        <f aca="false">SUM(B4:M4)</f>
        <v>90000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2" style="0" width="12"/>
  </cols>
  <sheetData>
    <row r="1" customFormat="false" ht="15" hidden="false" customHeight="false" outlineLevel="0" collapsed="false">
      <c r="A1" s="1" t="s">
        <v>259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260</v>
      </c>
    </row>
    <row r="2" customFormat="false" ht="15" hidden="false" customHeight="false" outlineLevel="0" collapsed="false">
      <c r="A2" s="0" t="s">
        <v>221</v>
      </c>
      <c r="B2" s="0" t="n">
        <f aca="false">Engine!C46</f>
        <v>0</v>
      </c>
      <c r="C2" s="0" t="n">
        <f aca="false">Engine!D46</f>
        <v>26718.75</v>
      </c>
      <c r="D2" s="0" t="n">
        <f aca="false">Engine!E46</f>
        <v>58246.875</v>
      </c>
      <c r="E2" s="0" t="n">
        <f aca="false">Engine!F46</f>
        <v>94584.375</v>
      </c>
      <c r="F2" s="0" t="n">
        <f aca="false">Engine!G46</f>
        <v>109012.5</v>
      </c>
      <c r="G2" s="0" t="n">
        <f aca="false">Engine!H46</f>
        <v>150159.375</v>
      </c>
      <c r="H2" s="0" t="n">
        <f aca="false">Engine!I46</f>
        <v>169396.875</v>
      </c>
      <c r="I2" s="0" t="n">
        <f aca="false">Engine!J46</f>
        <v>215353.125</v>
      </c>
      <c r="J2" s="0" t="n">
        <f aca="false">Engine!K46</f>
        <v>239400</v>
      </c>
      <c r="K2" s="0" t="n">
        <f aca="false">Engine!L46</f>
        <v>263446.875</v>
      </c>
      <c r="L2" s="0" t="n">
        <f aca="false">Engine!M46</f>
        <v>314212.5</v>
      </c>
      <c r="M2" s="0" t="n">
        <f aca="false">Engine!N46</f>
        <v>343068.75</v>
      </c>
      <c r="N2" s="0" t="n">
        <f aca="false">SUM(B2:M2)</f>
        <v>1983600</v>
      </c>
    </row>
    <row r="3" customFormat="false" ht="15" hidden="false" customHeight="false" outlineLevel="0" collapsed="false">
      <c r="A3" s="0" t="s">
        <v>263</v>
      </c>
      <c r="B3" s="0" t="n">
        <f aca="false">Engine!C47</f>
        <v>0</v>
      </c>
      <c r="C3" s="0" t="n">
        <f aca="false">Engine!D47</f>
        <v>19697.755</v>
      </c>
      <c r="D3" s="0" t="n">
        <f aca="false">Engine!E47</f>
        <v>42941.1059</v>
      </c>
      <c r="E3" s="0" t="n">
        <f aca="false">Engine!F47</f>
        <v>69730.0527</v>
      </c>
      <c r="F3" s="0" t="n">
        <f aca="false">Engine!G47</f>
        <v>80366.8404</v>
      </c>
      <c r="G3" s="0" t="n">
        <f aca="false">Engine!H47</f>
        <v>110701.3831</v>
      </c>
      <c r="H3" s="0" t="n">
        <f aca="false">Engine!I47</f>
        <v>124883.7667</v>
      </c>
      <c r="I3" s="0" t="n">
        <f aca="false">Engine!J47</f>
        <v>158763.9053</v>
      </c>
      <c r="J3" s="0" t="n">
        <f aca="false">Engine!K47</f>
        <v>176491.8848</v>
      </c>
      <c r="K3" s="0" t="n">
        <f aca="false">Engine!L47</f>
        <v>194219.8643</v>
      </c>
      <c r="L3" s="0" t="n">
        <f aca="false">Engine!M47</f>
        <v>231645.5988</v>
      </c>
      <c r="M3" s="0" t="n">
        <f aca="false">Engine!N47</f>
        <v>252919.1742</v>
      </c>
      <c r="N3" s="0" t="n">
        <f aca="false">SUM(B3:M3)</f>
        <v>1462361.3312</v>
      </c>
    </row>
    <row r="4" customFormat="false" ht="15" hidden="false" customHeight="false" outlineLevel="0" collapsed="false">
      <c r="A4" s="0" t="s">
        <v>264</v>
      </c>
      <c r="B4" s="0" t="n">
        <f aca="false">Engine!C48</f>
        <v>0</v>
      </c>
      <c r="C4" s="0" t="n">
        <f aca="false">Engine!D48</f>
        <v>1603.125</v>
      </c>
      <c r="D4" s="0" t="n">
        <f aca="false">Engine!E48</f>
        <v>3494.8125</v>
      </c>
      <c r="E4" s="0" t="n">
        <f aca="false">Engine!F48</f>
        <v>5675.0625</v>
      </c>
      <c r="F4" s="0" t="n">
        <f aca="false">Engine!G48</f>
        <v>6540.75</v>
      </c>
      <c r="G4" s="0" t="n">
        <f aca="false">Engine!H48</f>
        <v>9009.5625</v>
      </c>
      <c r="H4" s="0" t="n">
        <f aca="false">Engine!I48</f>
        <v>10163.8125</v>
      </c>
      <c r="I4" s="0" t="n">
        <f aca="false">Engine!J48</f>
        <v>12921.1875</v>
      </c>
      <c r="J4" s="0" t="n">
        <f aca="false">Engine!K48</f>
        <v>14364</v>
      </c>
      <c r="K4" s="0" t="n">
        <f aca="false">Engine!L48</f>
        <v>15806.8125</v>
      </c>
      <c r="L4" s="0" t="n">
        <f aca="false">Engine!M48</f>
        <v>18852.75</v>
      </c>
      <c r="M4" s="0" t="n">
        <f aca="false">Engine!N48</f>
        <v>20584.125</v>
      </c>
      <c r="N4" s="0" t="n">
        <f aca="false">SUM(B4:M4)</f>
        <v>119016</v>
      </c>
    </row>
    <row r="5" customFormat="false" ht="15" hidden="false" customHeight="false" outlineLevel="0" collapsed="false">
      <c r="A5" s="0" t="s">
        <v>198</v>
      </c>
      <c r="B5" s="0" t="n">
        <f aca="false">Engine!C49</f>
        <v>0</v>
      </c>
      <c r="C5" s="0" t="n">
        <f aca="false">Engine!D49</f>
        <v>5417.87</v>
      </c>
      <c r="D5" s="0" t="n">
        <f aca="false">Engine!E49</f>
        <v>11810.9566</v>
      </c>
      <c r="E5" s="0" t="n">
        <f aca="false">Engine!F49</f>
        <v>19179.2598</v>
      </c>
      <c r="F5" s="0" t="n">
        <f aca="false">Engine!G49</f>
        <v>22104.9096</v>
      </c>
      <c r="G5" s="0" t="n">
        <f aca="false">Engine!H49</f>
        <v>30448.4294</v>
      </c>
      <c r="H5" s="0" t="n">
        <f aca="false">Engine!I49</f>
        <v>34349.2958</v>
      </c>
      <c r="I5" s="0" t="n">
        <f aca="false">Engine!J49</f>
        <v>43668.0322</v>
      </c>
      <c r="J5" s="0" t="n">
        <f aca="false">Engine!K49</f>
        <v>48544.1152</v>
      </c>
      <c r="K5" s="0" t="n">
        <f aca="false">Engine!L49</f>
        <v>53420.1982</v>
      </c>
      <c r="L5" s="0" t="n">
        <f aca="false">Engine!M49</f>
        <v>63714.1512</v>
      </c>
      <c r="M5" s="0" t="n">
        <f aca="false">Engine!N49</f>
        <v>69565.4508</v>
      </c>
      <c r="N5" s="0" t="n">
        <f aca="false">SUM(B5:M5)</f>
        <v>402222.6688</v>
      </c>
    </row>
    <row r="6" customFormat="false" ht="15" hidden="false" customHeight="false" outlineLevel="0" collapsed="false">
      <c r="A6" s="0" t="s">
        <v>224</v>
      </c>
      <c r="B6" s="0" t="n">
        <f aca="false">Engine!C50</f>
        <v>32500</v>
      </c>
      <c r="C6" s="0" t="n">
        <f aca="false">Engine!D50</f>
        <v>32500</v>
      </c>
      <c r="D6" s="0" t="n">
        <f aca="false">Engine!E50</f>
        <v>32500</v>
      </c>
      <c r="E6" s="0" t="n">
        <f aca="false">Engine!F50</f>
        <v>32500</v>
      </c>
      <c r="F6" s="0" t="n">
        <f aca="false">Engine!G50</f>
        <v>32500</v>
      </c>
      <c r="G6" s="0" t="n">
        <f aca="false">Engine!H50</f>
        <v>32500</v>
      </c>
      <c r="H6" s="0" t="n">
        <f aca="false">Engine!I50</f>
        <v>32500</v>
      </c>
      <c r="I6" s="0" t="n">
        <f aca="false">Engine!J50</f>
        <v>32500</v>
      </c>
      <c r="J6" s="0" t="n">
        <f aca="false">Engine!K50</f>
        <v>32500</v>
      </c>
      <c r="K6" s="0" t="n">
        <f aca="false">Engine!L50</f>
        <v>32500</v>
      </c>
      <c r="L6" s="0" t="n">
        <f aca="false">Engine!M50</f>
        <v>32500</v>
      </c>
      <c r="M6" s="0" t="n">
        <f aca="false">Engine!N50</f>
        <v>32500</v>
      </c>
      <c r="N6" s="0" t="n">
        <f aca="false">SUM(B6:M6)</f>
        <v>390000</v>
      </c>
    </row>
    <row r="7" customFormat="false" ht="15" hidden="false" customHeight="false" outlineLevel="0" collapsed="false">
      <c r="A7" s="0" t="s">
        <v>225</v>
      </c>
      <c r="B7" s="0" t="n">
        <f aca="false">Engine!C51</f>
        <v>0</v>
      </c>
      <c r="C7" s="0" t="n">
        <f aca="false">Engine!D51</f>
        <v>0</v>
      </c>
      <c r="D7" s="0" t="n">
        <f aca="false">Engine!E51</f>
        <v>0</v>
      </c>
      <c r="E7" s="0" t="n">
        <f aca="false">Engine!F51</f>
        <v>0</v>
      </c>
      <c r="F7" s="0" t="n">
        <f aca="false">Engine!G51</f>
        <v>0</v>
      </c>
      <c r="G7" s="0" t="n">
        <f aca="false">Engine!H51</f>
        <v>0</v>
      </c>
      <c r="H7" s="0" t="n">
        <f aca="false">Engine!I51</f>
        <v>0</v>
      </c>
      <c r="I7" s="0" t="n">
        <f aca="false">Engine!J51</f>
        <v>0</v>
      </c>
      <c r="J7" s="0" t="n">
        <f aca="false">Engine!K51</f>
        <v>0</v>
      </c>
      <c r="K7" s="0" t="n">
        <f aca="false">Engine!L51</f>
        <v>0</v>
      </c>
      <c r="L7" s="0" t="n">
        <f aca="false">Engine!M51</f>
        <v>0</v>
      </c>
      <c r="M7" s="0" t="n">
        <f aca="false">Engine!N51</f>
        <v>0</v>
      </c>
      <c r="N7" s="0" t="n">
        <f aca="false">SUM(B7:M7)</f>
        <v>0</v>
      </c>
    </row>
    <row r="8" customFormat="false" ht="15" hidden="false" customHeight="false" outlineLevel="0" collapsed="false">
      <c r="A8" s="0" t="s">
        <v>265</v>
      </c>
      <c r="B8" s="0" t="n">
        <f aca="false">Engine!C52</f>
        <v>-32500</v>
      </c>
      <c r="C8" s="0" t="n">
        <f aca="false">Engine!D52</f>
        <v>-27082.13</v>
      </c>
      <c r="D8" s="0" t="n">
        <f aca="false">Engine!E52</f>
        <v>-20689.0434</v>
      </c>
      <c r="E8" s="0" t="n">
        <f aca="false">Engine!F52</f>
        <v>-13320.7402</v>
      </c>
      <c r="F8" s="0" t="n">
        <f aca="false">Engine!G52</f>
        <v>-10395.0904</v>
      </c>
      <c r="G8" s="0" t="n">
        <f aca="false">Engine!H52</f>
        <v>-2051.57060000001</v>
      </c>
      <c r="H8" s="0" t="n">
        <f aca="false">Engine!I52</f>
        <v>1849.29579999998</v>
      </c>
      <c r="I8" s="0" t="n">
        <f aca="false">Engine!J52</f>
        <v>11168.0322</v>
      </c>
      <c r="J8" s="0" t="n">
        <f aca="false">Engine!K52</f>
        <v>16044.1152</v>
      </c>
      <c r="K8" s="0" t="n">
        <f aca="false">Engine!L52</f>
        <v>20920.1982</v>
      </c>
      <c r="L8" s="0" t="n">
        <f aca="false">Engine!M52</f>
        <v>31214.1512</v>
      </c>
      <c r="M8" s="0" t="n">
        <f aca="false">Engine!N52</f>
        <v>37065.4508</v>
      </c>
      <c r="N8" s="0" t="n">
        <f aca="false">SUM(B8:M8)</f>
        <v>12222.6687999999</v>
      </c>
    </row>
    <row r="9" customFormat="false" ht="15" hidden="false" customHeight="false" outlineLevel="0" collapsed="false">
      <c r="A9" s="0" t="s">
        <v>227</v>
      </c>
      <c r="B9" s="0" t="n">
        <f aca="false">Engine!C53</f>
        <v>0</v>
      </c>
      <c r="C9" s="0" t="n">
        <f aca="false">Engine!D53</f>
        <v>0</v>
      </c>
      <c r="D9" s="0" t="n">
        <f aca="false">Engine!E53</f>
        <v>0</v>
      </c>
      <c r="E9" s="0" t="n">
        <f aca="false">Engine!F53</f>
        <v>0</v>
      </c>
      <c r="F9" s="0" t="n">
        <f aca="false">Engine!G53</f>
        <v>0</v>
      </c>
      <c r="G9" s="0" t="n">
        <f aca="false">Engine!H53</f>
        <v>0</v>
      </c>
      <c r="H9" s="0" t="n">
        <f aca="false">Engine!I53</f>
        <v>15000</v>
      </c>
      <c r="I9" s="0" t="n">
        <f aca="false">Engine!J53</f>
        <v>15000</v>
      </c>
      <c r="J9" s="0" t="n">
        <f aca="false">Engine!K53</f>
        <v>15000</v>
      </c>
      <c r="K9" s="0" t="n">
        <f aca="false">Engine!L53</f>
        <v>15000</v>
      </c>
      <c r="L9" s="0" t="n">
        <f aca="false">Engine!M53</f>
        <v>15000</v>
      </c>
      <c r="M9" s="0" t="n">
        <f aca="false">Engine!N53</f>
        <v>15000</v>
      </c>
      <c r="N9" s="0" t="n">
        <f aca="false">SUM(B9:M9)</f>
        <v>90000</v>
      </c>
    </row>
    <row r="10" customFormat="false" ht="15" hidden="false" customHeight="false" outlineLevel="0" collapsed="false">
      <c r="A10" s="0" t="s">
        <v>266</v>
      </c>
      <c r="B10" s="0" t="n">
        <f aca="false">Engine!C54</f>
        <v>-32500</v>
      </c>
      <c r="C10" s="0" t="n">
        <f aca="false">Engine!D54</f>
        <v>-27082.13</v>
      </c>
      <c r="D10" s="0" t="n">
        <f aca="false">Engine!E54</f>
        <v>-20689.0434</v>
      </c>
      <c r="E10" s="0" t="n">
        <f aca="false">Engine!F54</f>
        <v>-13320.7402</v>
      </c>
      <c r="F10" s="0" t="n">
        <f aca="false">Engine!G54</f>
        <v>-10395.0904</v>
      </c>
      <c r="G10" s="0" t="n">
        <f aca="false">Engine!H54</f>
        <v>-2051.57060000001</v>
      </c>
      <c r="H10" s="0" t="n">
        <f aca="false">Engine!I54</f>
        <v>-13150.7042</v>
      </c>
      <c r="I10" s="0" t="n">
        <f aca="false">Engine!J54</f>
        <v>-3831.96780000001</v>
      </c>
      <c r="J10" s="0" t="n">
        <f aca="false">Engine!K54</f>
        <v>1044.11519999997</v>
      </c>
      <c r="K10" s="0" t="n">
        <f aca="false">Engine!L54</f>
        <v>5920.19819999998</v>
      </c>
      <c r="L10" s="0" t="n">
        <f aca="false">Engine!M54</f>
        <v>16214.1512</v>
      </c>
      <c r="M10" s="0" t="n">
        <f aca="false">Engine!N54</f>
        <v>22065.4508</v>
      </c>
      <c r="N10" s="0" t="n">
        <f aca="false">SUM(B10:M10)</f>
        <v>-77777.3312000001</v>
      </c>
    </row>
    <row r="11" customFormat="false" ht="15" hidden="false" customHeight="false" outlineLevel="0" collapsed="false">
      <c r="A11" s="0" t="s">
        <v>234</v>
      </c>
      <c r="B11" s="0" t="n">
        <f aca="false">Engine!C60</f>
        <v>-32500</v>
      </c>
      <c r="C11" s="0" t="n">
        <f aca="false">Engine!D60</f>
        <v>-59582.13</v>
      </c>
      <c r="D11" s="0" t="n">
        <f aca="false">Engine!E60</f>
        <v>-80271.1734</v>
      </c>
      <c r="E11" s="0" t="n">
        <f aca="false">Engine!F60</f>
        <v>-93591.9136</v>
      </c>
      <c r="F11" s="0" t="n">
        <f aca="false">Engine!G60</f>
        <v>-103987.004</v>
      </c>
      <c r="G11" s="0" t="n">
        <f aca="false">Engine!H60</f>
        <v>-106038.5746</v>
      </c>
      <c r="H11" s="0" t="n">
        <f aca="false">Engine!I60</f>
        <v>-119189.2788</v>
      </c>
      <c r="I11" s="0" t="n">
        <f aca="false">Engine!J60</f>
        <v>-123021.2466</v>
      </c>
      <c r="J11" s="0" t="n">
        <f aca="false">Engine!K60</f>
        <v>-121977.1314</v>
      </c>
      <c r="K11" s="0" t="n">
        <f aca="false">Engine!L60</f>
        <v>-116056.9332</v>
      </c>
      <c r="L11" s="0" t="n">
        <f aca="false">Engine!M60</f>
        <v>-99842.7820000001</v>
      </c>
      <c r="M11" s="0" t="n">
        <f aca="false">Engine!N60</f>
        <v>-77777.3312000001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2" style="0" width="12"/>
  </cols>
  <sheetData>
    <row r="1" customFormat="false" ht="15" hidden="false" customHeight="false" outlineLevel="0" collapsed="false">
      <c r="A1" s="1" t="s">
        <v>259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260</v>
      </c>
    </row>
    <row r="2" customFormat="false" ht="15" hidden="false" customHeight="false" outlineLevel="0" collapsed="false">
      <c r="A2" s="0" t="s">
        <v>267</v>
      </c>
      <c r="B2" s="0" t="n">
        <f aca="false">Engine!C55</f>
        <v>0</v>
      </c>
      <c r="C2" s="0" t="n">
        <f aca="false">Engine!D55</f>
        <v>13359.375</v>
      </c>
      <c r="D2" s="0" t="n">
        <f aca="false">Engine!E55</f>
        <v>42482.8125</v>
      </c>
      <c r="E2" s="0" t="n">
        <f aca="false">Engine!F55</f>
        <v>76415.625</v>
      </c>
      <c r="F2" s="0" t="n">
        <f aca="false">Engine!G55</f>
        <v>101798.4375</v>
      </c>
      <c r="G2" s="0" t="n">
        <f aca="false">Engine!H55</f>
        <v>129585.9375</v>
      </c>
      <c r="H2" s="0" t="n">
        <f aca="false">Engine!I55</f>
        <v>159778.125</v>
      </c>
      <c r="I2" s="0" t="n">
        <f aca="false">Engine!J55</f>
        <v>192375</v>
      </c>
      <c r="J2" s="0" t="n">
        <f aca="false">Engine!K55</f>
        <v>227376.5625</v>
      </c>
      <c r="K2" s="0" t="n">
        <f aca="false">Engine!L55</f>
        <v>251423.4375</v>
      </c>
      <c r="L2" s="0" t="n">
        <f aca="false">Engine!M55</f>
        <v>288829.6875</v>
      </c>
      <c r="M2" s="0" t="n">
        <f aca="false">Engine!N55</f>
        <v>328640.625</v>
      </c>
      <c r="N2" s="0" t="n">
        <f aca="false">SUM(B2:M2)</f>
        <v>1812065.625</v>
      </c>
    </row>
    <row r="3" customFormat="false" ht="15" hidden="false" customHeight="false" outlineLevel="0" collapsed="false">
      <c r="A3" s="0" t="s">
        <v>230</v>
      </c>
      <c r="B3" s="0" t="n">
        <f aca="false">Engine!C56</f>
        <v>32500</v>
      </c>
      <c r="C3" s="0" t="n">
        <f aca="false">Engine!D56</f>
        <v>53800.88</v>
      </c>
      <c r="D3" s="0" t="n">
        <f aca="false">Engine!E56</f>
        <v>78935.9184</v>
      </c>
      <c r="E3" s="0" t="n">
        <f aca="false">Engine!F56</f>
        <v>107905.1152</v>
      </c>
      <c r="F3" s="0" t="n">
        <f aca="false">Engine!G56</f>
        <v>119407.5904</v>
      </c>
      <c r="G3" s="0" t="n">
        <f aca="false">Engine!H56</f>
        <v>152210.9456</v>
      </c>
      <c r="H3" s="0" t="n">
        <f aca="false">Engine!I56</f>
        <v>182547.5792</v>
      </c>
      <c r="I3" s="0" t="n">
        <f aca="false">Engine!J56</f>
        <v>219185.0928</v>
      </c>
      <c r="J3" s="0" t="n">
        <f aca="false">Engine!K56</f>
        <v>238355.8848</v>
      </c>
      <c r="K3" s="0" t="n">
        <f aca="false">Engine!L56</f>
        <v>257526.6768</v>
      </c>
      <c r="L3" s="0" t="n">
        <f aca="false">Engine!M56</f>
        <v>297998.3488</v>
      </c>
      <c r="M3" s="0" t="n">
        <f aca="false">Engine!N56</f>
        <v>321003.2992</v>
      </c>
      <c r="N3" s="0" t="n">
        <f aca="false">SUM(B3:M3)</f>
        <v>2061377.3312</v>
      </c>
    </row>
    <row r="4" customFormat="false" ht="15" hidden="false" customHeight="false" outlineLevel="0" collapsed="false">
      <c r="A4" s="0" t="s">
        <v>231</v>
      </c>
      <c r="B4" s="0" t="n">
        <f aca="false">Engine!C57</f>
        <v>-32500</v>
      </c>
      <c r="C4" s="0" t="n">
        <f aca="false">Engine!D57</f>
        <v>-40441.505</v>
      </c>
      <c r="D4" s="0" t="n">
        <f aca="false">Engine!E57</f>
        <v>-36453.1059</v>
      </c>
      <c r="E4" s="0" t="n">
        <f aca="false">Engine!F57</f>
        <v>-31489.4902</v>
      </c>
      <c r="F4" s="0" t="n">
        <f aca="false">Engine!G57</f>
        <v>-17609.1529</v>
      </c>
      <c r="G4" s="0" t="n">
        <f aca="false">Engine!H57</f>
        <v>-22625.0081</v>
      </c>
      <c r="H4" s="0" t="n">
        <f aca="false">Engine!I57</f>
        <v>-22769.4542</v>
      </c>
      <c r="I4" s="0" t="n">
        <f aca="false">Engine!J57</f>
        <v>-26810.0928</v>
      </c>
      <c r="J4" s="0" t="n">
        <f aca="false">Engine!K57</f>
        <v>-10979.3223000001</v>
      </c>
      <c r="K4" s="0" t="n">
        <f aca="false">Engine!L57</f>
        <v>-6103.23930000002</v>
      </c>
      <c r="L4" s="0" t="n">
        <f aca="false">Engine!M57</f>
        <v>-9168.66130000004</v>
      </c>
      <c r="M4" s="0" t="n">
        <f aca="false">Engine!N57</f>
        <v>7637.32579999999</v>
      </c>
      <c r="N4" s="0" t="n">
        <f aca="false">SUM(B4:M4)</f>
        <v>-249311.7062</v>
      </c>
    </row>
    <row r="5" customFormat="false" ht="15" hidden="false" customHeight="false" outlineLevel="0" collapsed="false">
      <c r="A5" s="0" t="s">
        <v>268</v>
      </c>
      <c r="B5" s="0" t="n">
        <f aca="false">Engine!C58</f>
        <v>202500</v>
      </c>
      <c r="C5" s="0" t="n">
        <f aca="false">Engine!D58</f>
        <v>162058.495</v>
      </c>
      <c r="D5" s="0" t="n">
        <f aca="false">Engine!E58</f>
        <v>125605.3891</v>
      </c>
      <c r="E5" s="0" t="n">
        <f aca="false">Engine!F58</f>
        <v>94115.8989</v>
      </c>
      <c r="F5" s="0" t="n">
        <f aca="false">Engine!G58</f>
        <v>76506.746</v>
      </c>
      <c r="G5" s="0" t="n">
        <f aca="false">Engine!H58</f>
        <v>53881.7379</v>
      </c>
      <c r="H5" s="0" t="n">
        <f aca="false">Engine!I58</f>
        <v>31112.2836999999</v>
      </c>
      <c r="I5" s="0" t="n">
        <f aca="false">Engine!J58</f>
        <v>4302.19089999993</v>
      </c>
      <c r="J5" s="0" t="n">
        <f aca="false">Engine!K58</f>
        <v>-6677.13140000013</v>
      </c>
      <c r="K5" s="0" t="n">
        <f aca="false">Engine!L58</f>
        <v>-12780.3707000001</v>
      </c>
      <c r="L5" s="0" t="n">
        <f aca="false">Engine!M58</f>
        <v>-21949.0320000002</v>
      </c>
      <c r="M5" s="0" t="n">
        <f aca="false">Engine!N58</f>
        <v>-14311.7062000002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2" style="0" width="12"/>
  </cols>
  <sheetData>
    <row r="1" customFormat="false" ht="15" hidden="false" customHeight="false" outlineLevel="0" collapsed="false">
      <c r="A1" s="1" t="s">
        <v>259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260</v>
      </c>
    </row>
    <row r="2" customFormat="false" ht="15" hidden="false" customHeight="false" outlineLevel="0" collapsed="false">
      <c r="A2" s="0" t="s">
        <v>269</v>
      </c>
      <c r="B2" s="0" t="n">
        <f aca="false">Engine!C46</f>
        <v>0</v>
      </c>
      <c r="C2" s="0" t="n">
        <f aca="false">Engine!D46</f>
        <v>26718.75</v>
      </c>
      <c r="D2" s="0" t="n">
        <f aca="false">Engine!E46</f>
        <v>58246.875</v>
      </c>
      <c r="E2" s="0" t="n">
        <f aca="false">Engine!F46</f>
        <v>94584.375</v>
      </c>
      <c r="F2" s="0" t="n">
        <f aca="false">Engine!G46</f>
        <v>109012.5</v>
      </c>
      <c r="G2" s="0" t="n">
        <f aca="false">Engine!H46</f>
        <v>150159.375</v>
      </c>
      <c r="H2" s="0" t="n">
        <f aca="false">Engine!I46</f>
        <v>169396.875</v>
      </c>
      <c r="I2" s="0" t="n">
        <f aca="false">Engine!J46</f>
        <v>215353.125</v>
      </c>
      <c r="J2" s="0" t="n">
        <f aca="false">Engine!K46</f>
        <v>239400</v>
      </c>
      <c r="K2" s="0" t="n">
        <f aca="false">Engine!L46</f>
        <v>263446.875</v>
      </c>
      <c r="L2" s="0" t="n">
        <f aca="false">Engine!M46</f>
        <v>314212.5</v>
      </c>
      <c r="M2" s="0" t="n">
        <f aca="false">Engine!N46</f>
        <v>343068.75</v>
      </c>
      <c r="N2" s="0" t="n">
        <f aca="false">SUM(B2:M2)</f>
        <v>1983600</v>
      </c>
    </row>
    <row r="3" customFormat="false" ht="15" hidden="false" customHeight="false" outlineLevel="0" collapsed="false">
      <c r="A3" s="0" t="s">
        <v>229</v>
      </c>
      <c r="B3" s="0" t="n">
        <f aca="false">Engine!C55</f>
        <v>0</v>
      </c>
      <c r="C3" s="0" t="n">
        <f aca="false">Engine!D55</f>
        <v>13359.375</v>
      </c>
      <c r="D3" s="0" t="n">
        <f aca="false">Engine!E55</f>
        <v>42482.8125</v>
      </c>
      <c r="E3" s="0" t="n">
        <f aca="false">Engine!F55</f>
        <v>76415.625</v>
      </c>
      <c r="F3" s="0" t="n">
        <f aca="false">Engine!G55</f>
        <v>101798.4375</v>
      </c>
      <c r="G3" s="0" t="n">
        <f aca="false">Engine!H55</f>
        <v>129585.9375</v>
      </c>
      <c r="H3" s="0" t="n">
        <f aca="false">Engine!I55</f>
        <v>159778.125</v>
      </c>
      <c r="I3" s="0" t="n">
        <f aca="false">Engine!J55</f>
        <v>192375</v>
      </c>
      <c r="J3" s="0" t="n">
        <f aca="false">Engine!K55</f>
        <v>227376.5625</v>
      </c>
      <c r="K3" s="0" t="n">
        <f aca="false">Engine!L55</f>
        <v>251423.4375</v>
      </c>
      <c r="L3" s="0" t="n">
        <f aca="false">Engine!M55</f>
        <v>288829.6875</v>
      </c>
      <c r="M3" s="0" t="n">
        <f aca="false">Engine!N55</f>
        <v>328640.625</v>
      </c>
      <c r="N3" s="0" t="n">
        <f aca="false">SUM(B3:M3)</f>
        <v>1812065.625</v>
      </c>
    </row>
    <row r="4" customFormat="false" ht="15" hidden="false" customHeight="false" outlineLevel="0" collapsed="false">
      <c r="A4" s="0" t="s">
        <v>233</v>
      </c>
      <c r="B4" s="0" t="n">
        <f aca="false">Engine!C59</f>
        <v>0</v>
      </c>
      <c r="C4" s="0" t="n">
        <f aca="false">Engine!D59</f>
        <v>13359.375</v>
      </c>
      <c r="D4" s="0" t="n">
        <f aca="false">Engine!E59</f>
        <v>29123.4375</v>
      </c>
      <c r="E4" s="0" t="n">
        <f aca="false">Engine!F59</f>
        <v>47292.1875</v>
      </c>
      <c r="F4" s="0" t="n">
        <f aca="false">Engine!G59</f>
        <v>54506.25</v>
      </c>
      <c r="G4" s="0" t="n">
        <f aca="false">Engine!H59</f>
        <v>75079.6875</v>
      </c>
      <c r="H4" s="0" t="n">
        <f aca="false">Engine!I59</f>
        <v>84698.4375</v>
      </c>
      <c r="I4" s="0" t="n">
        <f aca="false">Engine!J59</f>
        <v>107676.5625</v>
      </c>
      <c r="J4" s="0" t="n">
        <f aca="false">Engine!K59</f>
        <v>119700</v>
      </c>
      <c r="K4" s="0" t="n">
        <f aca="false">Engine!L59</f>
        <v>131723.4375</v>
      </c>
      <c r="L4" s="0" t="n">
        <f aca="false">Engine!M59</f>
        <v>157106.25</v>
      </c>
      <c r="M4" s="0" t="n">
        <f aca="false">Engine!N59</f>
        <v>171534.375</v>
      </c>
    </row>
    <row r="5" customFormat="false" ht="15" hidden="false" customHeight="false" outlineLevel="0" collapsed="false">
      <c r="A5" s="0" t="s">
        <v>232</v>
      </c>
      <c r="B5" s="0" t="n">
        <f aca="false">Engine!C58</f>
        <v>202500</v>
      </c>
      <c r="C5" s="0" t="n">
        <f aca="false">Engine!D58</f>
        <v>162058.495</v>
      </c>
      <c r="D5" s="0" t="n">
        <f aca="false">Engine!E58</f>
        <v>125605.3891</v>
      </c>
      <c r="E5" s="0" t="n">
        <f aca="false">Engine!F58</f>
        <v>94115.8989</v>
      </c>
      <c r="F5" s="0" t="n">
        <f aca="false">Engine!G58</f>
        <v>76506.746</v>
      </c>
      <c r="G5" s="0" t="n">
        <f aca="false">Engine!H58</f>
        <v>53881.7379</v>
      </c>
      <c r="H5" s="0" t="n">
        <f aca="false">Engine!I58</f>
        <v>31112.2836999999</v>
      </c>
      <c r="I5" s="0" t="n">
        <f aca="false">Engine!J58</f>
        <v>4302.19089999993</v>
      </c>
      <c r="J5" s="0" t="n">
        <f aca="false">Engine!K58</f>
        <v>-6677.13140000013</v>
      </c>
      <c r="K5" s="0" t="n">
        <f aca="false">Engine!L58</f>
        <v>-12780.3707000001</v>
      </c>
      <c r="L5" s="0" t="n">
        <f aca="false">Engine!M58</f>
        <v>-21949.0320000002</v>
      </c>
      <c r="M5" s="0" t="n">
        <f aca="false">Engine!N58</f>
        <v>-14311.7062000002</v>
      </c>
    </row>
    <row r="8" customFormat="false" ht="15" hidden="false" customHeight="false" outlineLevel="0" collapsed="false">
      <c r="A8" s="0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271</v>
      </c>
      <c r="B1" s="1" t="s">
        <v>7</v>
      </c>
      <c r="C1" s="1" t="s">
        <v>272</v>
      </c>
    </row>
    <row r="2" customFormat="false" ht="15" hidden="false" customHeight="false" outlineLevel="0" collapsed="false">
      <c r="A2" s="0" t="s">
        <v>273</v>
      </c>
      <c r="B2" s="0" t="n">
        <f aca="false">(1-(1-Assumptions!$B$6)*(1+(1-Assumptions!$B$26)*Assumptions!$B$21*Assumptions!$B$27)-Assumptions!$B$7-Assumptions!$B$8)</f>
        <v>0.202774081871345</v>
      </c>
      <c r="C2" s="0" t="s">
        <v>274</v>
      </c>
    </row>
    <row r="3" customFormat="false" ht="15" hidden="false" customHeight="false" outlineLevel="0" collapsed="false">
      <c r="A3" s="0" t="s">
        <v>275</v>
      </c>
      <c r="B3" s="0" t="n">
        <f aca="false">Assumptions!$B$29</f>
        <v>32500</v>
      </c>
    </row>
    <row r="4" customFormat="false" ht="15" hidden="false" customHeight="false" outlineLevel="0" collapsed="false">
      <c r="A4" s="0" t="s">
        <v>276</v>
      </c>
      <c r="B4" s="0" t="n">
        <f aca="false">B3/B2</f>
        <v>160276.893871577</v>
      </c>
      <c r="C4" s="0" t="s">
        <v>277</v>
      </c>
    </row>
    <row r="5" customFormat="false" ht="15" hidden="false" customHeight="false" outlineLevel="0" collapsed="false">
      <c r="A5" s="0" t="s">
        <v>278</v>
      </c>
      <c r="B5" s="0" t="n">
        <f aca="false">(B3+Assumptions!$B$12)/B2</f>
        <v>234250.844889228</v>
      </c>
      <c r="C5" s="0" t="s">
        <v>279</v>
      </c>
    </row>
    <row r="6" customFormat="false" ht="15" hidden="false" customHeight="false" outlineLevel="0" collapsed="false">
      <c r="A6" s="0" t="s">
        <v>280</v>
      </c>
      <c r="B6" s="0" t="n">
        <f aca="false">B4/Assumptions!$B$5</f>
        <v>5.9986673729713</v>
      </c>
    </row>
    <row r="7" customFormat="false" ht="15" hidden="false" customHeight="false" outlineLevel="0" collapsed="false">
      <c r="A7" s="0" t="s">
        <v>281</v>
      </c>
      <c r="B7" s="0" t="n">
        <f aca="false">B5/Assumptions!$B$5</f>
        <v>8.76728308357344</v>
      </c>
    </row>
    <row r="8" customFormat="false" ht="15" hidden="false" customHeight="false" outlineLevel="0" collapsed="false">
      <c r="A8" s="0" t="s">
        <v>282</v>
      </c>
      <c r="B8" s="0" t="n">
        <f aca="false">Assumptions!$B$5*B2</f>
        <v>5417.87</v>
      </c>
    </row>
    <row r="9" customFormat="false" ht="15" hidden="false" customHeight="false" outlineLevel="0" collapsed="false">
      <c r="A9" s="0" t="s">
        <v>283</v>
      </c>
      <c r="B9" s="0" t="n">
        <f aca="false">B7/Assumptions!$B$11</f>
        <v>48.7071282420746</v>
      </c>
      <c r="C9" s="0" t="s">
        <v>284</v>
      </c>
    </row>
    <row r="10" customFormat="false" ht="15" hidden="false" customHeight="false" outlineLevel="0" collapsed="false">
      <c r="A10" s="0" t="s">
        <v>285</v>
      </c>
      <c r="B10" s="0" t="n">
        <f aca="false">Assumptions!$B$5*Assumptions!$B$11</f>
        <v>4809.375</v>
      </c>
      <c r="C10" s="0" t="s">
        <v>286</v>
      </c>
    </row>
    <row r="11" customFormat="false" ht="15" hidden="false" customHeight="false" outlineLevel="0" collapsed="false">
      <c r="A11" s="0" t="s">
        <v>287</v>
      </c>
      <c r="B11" s="0" t="n">
        <f aca="false">Capital_Allocation!$C$14</f>
        <v>265000</v>
      </c>
      <c r="C11" s="0" t="s">
        <v>288</v>
      </c>
    </row>
    <row r="12" customFormat="false" ht="15" hidden="false" customHeight="false" outlineLevel="0" collapsed="false">
      <c r="A12" s="0" t="s">
        <v>289</v>
      </c>
      <c r="B12" s="0" t="n">
        <f aca="false">Engine!$B$71</f>
        <v>22065.4508</v>
      </c>
    </row>
    <row r="13" customFormat="false" ht="15" hidden="false" customHeight="false" outlineLevel="0" collapsed="false">
      <c r="A13" s="0" t="s">
        <v>290</v>
      </c>
      <c r="B13" s="0" t="n">
        <f aca="false">IF(B12&gt;0,B11/B12,"not recovered at M12 run-rate")</f>
        <v>12.0097251763377</v>
      </c>
      <c r="C13" s="0" t="s">
        <v>291</v>
      </c>
    </row>
    <row r="14" customFormat="false" ht="15" hidden="false" customHeight="false" outlineLevel="0" collapsed="false">
      <c r="A14" s="0" t="s">
        <v>292</v>
      </c>
      <c r="B14" s="0" t="n">
        <f aca="false">Engine!$B$70</f>
        <v>7</v>
      </c>
    </row>
    <row r="15" customFormat="false" ht="15" hidden="false" customHeight="false" outlineLevel="0" collapsed="false">
      <c r="A15" s="0" t="s">
        <v>293</v>
      </c>
      <c r="B15" s="0" t="n">
        <f aca="false">Engine!$B$73</f>
        <v>9</v>
      </c>
    </row>
    <row r="16" customFormat="false" ht="15" hidden="false" customHeight="false" outlineLevel="0" collapsed="false">
      <c r="A16" s="0" t="s">
        <v>294</v>
      </c>
      <c r="B16" s="0" t="n">
        <f aca="false">Engine!N44</f>
        <v>12.84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6"/>
    <col collapsed="false" customWidth="true" hidden="false" outlineLevel="0" max="9" min="7" style="0" width="18"/>
  </cols>
  <sheetData>
    <row r="1" customFormat="false" ht="28.35" hidden="false" customHeight="false" outlineLevel="0" collapsed="false">
      <c r="A1" s="1" t="s">
        <v>69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</row>
    <row r="2" customFormat="false" ht="15" hidden="false" customHeight="false" outlineLevel="0" collapsed="false">
      <c r="A2" s="0" t="s">
        <v>88</v>
      </c>
      <c r="B2" s="0" t="n">
        <f aca="false">Engine!$B$25</f>
        <v>830205</v>
      </c>
      <c r="C2" s="0" t="n">
        <f aca="false">Engine!$B$26</f>
        <v>107139.192304</v>
      </c>
      <c r="D2" s="0" t="n">
        <f aca="false">Engine!$B$27</f>
        <v>-372860.807696</v>
      </c>
      <c r="E2" s="0" t="n">
        <f aca="false">Engine!$B$28</f>
        <v>-268515.495196</v>
      </c>
      <c r="F2" s="0" t="n">
        <f aca="false">Engine!$B$29</f>
        <v>-268515.495196</v>
      </c>
      <c r="G2" s="0" t="str">
        <f aca="false">Engine!$B$30</f>
        <v>NO</v>
      </c>
      <c r="H2" s="0" t="str">
        <f aca="false">Engine!$B$31</f>
        <v>NO</v>
      </c>
      <c r="I2" s="0" t="str">
        <f aca="false">Engine!$B$32</f>
        <v>none in 12 mo</v>
      </c>
    </row>
    <row r="3" customFormat="false" ht="15" hidden="false" customHeight="false" outlineLevel="0" collapsed="false">
      <c r="A3" s="0" t="s">
        <v>91</v>
      </c>
      <c r="B3" s="0" t="n">
        <f aca="false">Engine!$B$63</f>
        <v>1983600</v>
      </c>
      <c r="C3" s="0" t="n">
        <f aca="false">Engine!$B$64</f>
        <v>402222.6688</v>
      </c>
      <c r="D3" s="0" t="n">
        <f aca="false">Engine!$B$65</f>
        <v>-77777.3312000001</v>
      </c>
      <c r="E3" s="0" t="n">
        <f aca="false">Engine!$B$66</f>
        <v>-21949.0320000002</v>
      </c>
      <c r="F3" s="0" t="n">
        <f aca="false">Engine!$B$67</f>
        <v>-14311.7062000002</v>
      </c>
      <c r="G3" s="0" t="str">
        <f aca="false">Engine!$B$68</f>
        <v>NO</v>
      </c>
      <c r="H3" s="0" t="str">
        <f aca="false">Engine!$B$69</f>
        <v>NO</v>
      </c>
      <c r="I3" s="0" t="n">
        <f aca="false">Engine!$B$70</f>
        <v>7</v>
      </c>
    </row>
    <row r="4" customFormat="false" ht="15" hidden="false" customHeight="false" outlineLevel="0" collapsed="false">
      <c r="A4" s="0" t="s">
        <v>92</v>
      </c>
      <c r="B4" s="0" t="n">
        <f aca="false">Engine!$B$101</f>
        <v>3116389.5</v>
      </c>
      <c r="C4" s="0" t="n">
        <f aca="false">Engine!$B$102</f>
        <v>700847.51292752</v>
      </c>
      <c r="D4" s="0" t="n">
        <f aca="false">Engine!$B$103</f>
        <v>220847.51292752</v>
      </c>
      <c r="E4" s="0" t="n">
        <f aca="false">Engine!$B$104</f>
        <v>58610.16902886</v>
      </c>
      <c r="F4" s="0" t="n">
        <f aca="false">Engine!$B$105</f>
        <v>177320.57542752</v>
      </c>
      <c r="G4" s="0" t="str">
        <f aca="false">Engine!$B$106</f>
        <v>YES</v>
      </c>
      <c r="H4" s="0" t="str">
        <f aca="false">Engine!$B$107</f>
        <v>YES</v>
      </c>
      <c r="I4" s="0" t="n">
        <f aca="false">Engine!$B$108</f>
        <v>5</v>
      </c>
    </row>
    <row r="6" customFormat="false" ht="15" hidden="false" customHeight="false" outlineLevel="0" collapsed="false">
      <c r="A6" s="0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5" min="2" style="0" width="16"/>
    <col collapsed="false" customWidth="true" hidden="false" outlineLevel="0" max="8" min="6" style="0" width="18"/>
  </cols>
  <sheetData>
    <row r="1" customFormat="false" ht="28.35" hidden="false" customHeight="false" outlineLevel="0" collapsed="false">
      <c r="A1" s="1" t="s">
        <v>304</v>
      </c>
      <c r="B1" s="1" t="s">
        <v>295</v>
      </c>
      <c r="C1" s="1" t="s">
        <v>297</v>
      </c>
      <c r="D1" s="1" t="s">
        <v>305</v>
      </c>
      <c r="E1" s="1" t="s">
        <v>298</v>
      </c>
      <c r="F1" s="1" t="s">
        <v>300</v>
      </c>
      <c r="G1" s="1" t="s">
        <v>301</v>
      </c>
      <c r="H1" s="1" t="s">
        <v>302</v>
      </c>
    </row>
    <row r="2" customFormat="false" ht="15" hidden="false" customHeight="false" outlineLevel="0" collapsed="false">
      <c r="A2" s="0" t="s">
        <v>93</v>
      </c>
      <c r="B2" s="0" t="n">
        <f aca="false">Engine!$B$139</f>
        <v>1785240</v>
      </c>
      <c r="C2" s="0" t="n">
        <f aca="false">Engine!$B$141</f>
        <v>-264235.7312</v>
      </c>
      <c r="D2" s="0" t="n">
        <f aca="false">C2-Engine!$B$65</f>
        <v>-186458.4</v>
      </c>
      <c r="E2" s="0" t="n">
        <f aca="false">Engine!$B$142</f>
        <v>-183616.6687</v>
      </c>
      <c r="F2" s="0" t="str">
        <f aca="false">Engine!$B$144</f>
        <v>NO</v>
      </c>
      <c r="G2" s="0" t="str">
        <f aca="false">Engine!$B$145</f>
        <v>NO</v>
      </c>
      <c r="H2" s="0" t="n">
        <f aca="false">Engine!$B$146</f>
        <v>11</v>
      </c>
    </row>
    <row r="3" customFormat="false" ht="15" hidden="false" customHeight="false" outlineLevel="0" collapsed="false">
      <c r="A3" s="0" t="s">
        <v>94</v>
      </c>
      <c r="B3" s="0" t="n">
        <f aca="false">Engine!$B$177</f>
        <v>1983600</v>
      </c>
      <c r="C3" s="0" t="n">
        <f aca="false">Engine!$B$179</f>
        <v>-224013.46432</v>
      </c>
      <c r="D3" s="0" t="n">
        <f aca="false">C3-Engine!$B$65</f>
        <v>-146236.13312</v>
      </c>
      <c r="E3" s="0" t="n">
        <f aca="false">Engine!$B$180</f>
        <v>-160547.83932</v>
      </c>
      <c r="F3" s="0" t="str">
        <f aca="false">Engine!$B$182</f>
        <v>NO</v>
      </c>
      <c r="G3" s="0" t="str">
        <f aca="false">Engine!$B$183</f>
        <v>NO</v>
      </c>
      <c r="H3" s="0" t="n">
        <f aca="false">Engine!$B$184</f>
        <v>10</v>
      </c>
    </row>
    <row r="4" customFormat="false" ht="15" hidden="false" customHeight="false" outlineLevel="0" collapsed="false">
      <c r="A4" s="0" t="s">
        <v>95</v>
      </c>
      <c r="B4" s="0" t="n">
        <f aca="false">Engine!$B$215</f>
        <v>991800</v>
      </c>
      <c r="C4" s="0" t="n">
        <f aca="false">Engine!$B$217</f>
        <v>-278888.6656</v>
      </c>
      <c r="D4" s="0" t="n">
        <f aca="false">C4-Engine!$B$65</f>
        <v>-201111.3344</v>
      </c>
      <c r="E4" s="0" t="n">
        <f aca="false">Engine!$B$218</f>
        <v>-129655.8531</v>
      </c>
      <c r="F4" s="0" t="str">
        <f aca="false">Engine!$B$220</f>
        <v>NO</v>
      </c>
      <c r="G4" s="0" t="str">
        <f aca="false">Engine!$B$221</f>
        <v>NO</v>
      </c>
      <c r="H4" s="0" t="n">
        <f aca="false">Engine!$B$222</f>
        <v>12</v>
      </c>
    </row>
    <row r="5" customFormat="false" ht="15" hidden="false" customHeight="false" outlineLevel="0" collapsed="false">
      <c r="A5" s="0" t="s">
        <v>96</v>
      </c>
      <c r="B5" s="0" t="n">
        <f aca="false">Engine!$B$253</f>
        <v>1983600</v>
      </c>
      <c r="C5" s="0" t="n">
        <f aca="false">Engine!$B$255</f>
        <v>-297131.53088</v>
      </c>
      <c r="D5" s="0" t="n">
        <f aca="false">C5-Engine!$B$65</f>
        <v>-219354.19968</v>
      </c>
      <c r="E5" s="0" t="n">
        <f aca="false">Engine!$B$256</f>
        <v>-233665.90588</v>
      </c>
      <c r="F5" s="0" t="str">
        <f aca="false">Engine!$B$258</f>
        <v>NO</v>
      </c>
      <c r="G5" s="0" t="str">
        <f aca="false">Engine!$B$259</f>
        <v>NO</v>
      </c>
      <c r="H5" s="0" t="str">
        <f aca="false">Engine!$B$260</f>
        <v>none in 12 mo</v>
      </c>
    </row>
    <row r="6" customFormat="false" ht="15" hidden="false" customHeight="false" outlineLevel="0" collapsed="false">
      <c r="A6" s="0" t="s">
        <v>97</v>
      </c>
      <c r="B6" s="0" t="n">
        <f aca="false">Engine!$B$291</f>
        <v>1983600</v>
      </c>
      <c r="C6" s="0" t="n">
        <f aca="false">Engine!$B$293</f>
        <v>-77777.3312000001</v>
      </c>
      <c r="D6" s="0" t="n">
        <f aca="false">C6-Engine!$B$65</f>
        <v>0</v>
      </c>
      <c r="E6" s="0" t="n">
        <f aca="false">Engine!$B$294</f>
        <v>-171417.9562</v>
      </c>
      <c r="F6" s="0" t="str">
        <f aca="false">Engine!$B$296</f>
        <v>NO</v>
      </c>
      <c r="G6" s="0" t="str">
        <f aca="false">Engine!$B$297</f>
        <v>NO</v>
      </c>
      <c r="H6" s="0" t="n">
        <f aca="false">Engine!$B$298</f>
        <v>7</v>
      </c>
    </row>
    <row r="7" customFormat="false" ht="15" hidden="false" customHeight="false" outlineLevel="0" collapsed="false">
      <c r="A7" s="0" t="s">
        <v>98</v>
      </c>
      <c r="B7" s="0" t="n">
        <f aca="false">Engine!$B$329</f>
        <v>1828096.875</v>
      </c>
      <c r="C7" s="0" t="n">
        <f aca="false">Engine!$B$331</f>
        <v>-124309.3346</v>
      </c>
      <c r="D7" s="0" t="n">
        <f aca="false">C7-Engine!$B$65</f>
        <v>-46532.0034</v>
      </c>
      <c r="E7" s="0" t="n">
        <f aca="false">Engine!$B$332</f>
        <v>-68481.0354000002</v>
      </c>
      <c r="F7" s="0" t="str">
        <f aca="false">Engine!$B$334</f>
        <v>NO</v>
      </c>
      <c r="G7" s="0" t="str">
        <f aca="false">Engine!$B$335</f>
        <v>NO</v>
      </c>
      <c r="H7" s="0" t="n">
        <f aca="false">Engine!$B$336</f>
        <v>7</v>
      </c>
    </row>
    <row r="8" customFormat="false" ht="15" hidden="false" customHeight="false" outlineLevel="0" collapsed="false">
      <c r="A8" s="0" t="s">
        <v>99</v>
      </c>
      <c r="B8" s="0" t="n">
        <f aca="false">Engine!$B$367</f>
        <v>1579612.5</v>
      </c>
      <c r="C8" s="0" t="n">
        <f aca="false">Engine!$B$369</f>
        <v>-159695.5256</v>
      </c>
      <c r="D8" s="0" t="n">
        <f aca="false">C8-Engine!$B$65</f>
        <v>-81918.1944</v>
      </c>
      <c r="E8" s="0" t="n">
        <f aca="false">Engine!$B$370</f>
        <v>-50540.8381000001</v>
      </c>
      <c r="F8" s="0" t="str">
        <f aca="false">Engine!$B$372</f>
        <v>NO</v>
      </c>
      <c r="G8" s="0" t="str">
        <f aca="false">Engine!$B$373</f>
        <v>NO</v>
      </c>
      <c r="H8" s="0" t="n">
        <f aca="false">Engine!$B$374</f>
        <v>8</v>
      </c>
    </row>
    <row r="9" customFormat="false" ht="15" hidden="false" customHeight="false" outlineLevel="0" collapsed="false">
      <c r="A9" s="0" t="s">
        <v>100</v>
      </c>
      <c r="B9" s="0" t="n">
        <f aca="false">Engine!$B$405</f>
        <v>2426062.5</v>
      </c>
      <c r="C9" s="0" t="n">
        <f aca="false">Engine!$B$407</f>
        <v>11942.5959999997</v>
      </c>
      <c r="D9" s="0" t="n">
        <f aca="false">C9-Engine!$B$65</f>
        <v>89719.9271999999</v>
      </c>
      <c r="E9" s="0" t="n">
        <f aca="false">Engine!$B$408</f>
        <v>-43146.07306</v>
      </c>
      <c r="F9" s="0" t="str">
        <f aca="false">Engine!$B$410</f>
        <v>NO</v>
      </c>
      <c r="G9" s="0" t="str">
        <f aca="false">Engine!$B$411</f>
        <v>NO</v>
      </c>
      <c r="H9" s="0" t="n">
        <f aca="false">Engine!$B$412</f>
        <v>7</v>
      </c>
    </row>
    <row r="10" customFormat="false" ht="15" hidden="false" customHeight="false" outlineLevel="0" collapsed="false">
      <c r="A10" s="0" t="s">
        <v>101</v>
      </c>
      <c r="B10" s="0" t="n">
        <f aca="false">Engine!$B$443</f>
        <v>1983600</v>
      </c>
      <c r="C10" s="0" t="n">
        <f aca="false">Engine!$B$445</f>
        <v>-122777.3312</v>
      </c>
      <c r="D10" s="0" t="n">
        <f aca="false">C10-Engine!$B$65</f>
        <v>-45000</v>
      </c>
      <c r="E10" s="0" t="n">
        <f aca="false">Engine!$B$446</f>
        <v>-66949.0320000002</v>
      </c>
      <c r="F10" s="0" t="str">
        <f aca="false">Engine!$B$448</f>
        <v>NO</v>
      </c>
      <c r="G10" s="0" t="str">
        <f aca="false">Engine!$B$449</f>
        <v>NO</v>
      </c>
      <c r="H10" s="0" t="n">
        <f aca="false">Engine!$B$450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1" t="s">
        <v>306</v>
      </c>
      <c r="B1" s="1" t="s">
        <v>307</v>
      </c>
      <c r="C1" s="1" t="s">
        <v>308</v>
      </c>
      <c r="D1" s="1" t="s">
        <v>309</v>
      </c>
    </row>
    <row r="2" customFormat="false" ht="15" hidden="false" customHeight="false" outlineLevel="0" collapsed="false">
      <c r="A2" s="0" t="s">
        <v>221</v>
      </c>
      <c r="B2" s="0" t="n">
        <f aca="false">Engine!$B$63</f>
        <v>1983600</v>
      </c>
      <c r="C2" s="0" t="n">
        <f aca="false">Engine!N46*12*(1+Assumptions!$B$22)</f>
        <v>4734348.75</v>
      </c>
      <c r="D2" s="0" t="n">
        <f aca="false">C2*(1+Assumptions!$B$23)</f>
        <v>5681218.5</v>
      </c>
    </row>
    <row r="3" customFormat="false" ht="15" hidden="false" customHeight="false" outlineLevel="0" collapsed="false">
      <c r="A3" s="0" t="s">
        <v>198</v>
      </c>
      <c r="B3" s="0" t="n">
        <f aca="false">Engine!$B$64</f>
        <v>402222.6688</v>
      </c>
      <c r="C3" s="0" t="n">
        <f aca="false">C2*Break_Even!$B$2</f>
        <v>960003.22104</v>
      </c>
      <c r="D3" s="0" t="n">
        <f aca="false">D2*Break_Even!$B$2</f>
        <v>1152003.865248</v>
      </c>
    </row>
    <row r="4" customFormat="false" ht="15" hidden="false" customHeight="false" outlineLevel="0" collapsed="false">
      <c r="A4" s="0" t="s">
        <v>224</v>
      </c>
      <c r="B4" s="0" t="n">
        <f aca="false">Assumptions!$B$29*12</f>
        <v>390000</v>
      </c>
      <c r="C4" s="0" t="n">
        <f aca="false">B4*(1+Assumptions!$B$24)</f>
        <v>421200</v>
      </c>
      <c r="D4" s="0" t="n">
        <f aca="false">C4*(1+Assumptions!$B$24)</f>
        <v>454896</v>
      </c>
    </row>
    <row r="5" customFormat="false" ht="15" hidden="false" customHeight="false" outlineLevel="0" collapsed="false">
      <c r="A5" s="0" t="s">
        <v>227</v>
      </c>
      <c r="B5" s="0" t="n">
        <f aca="false">SUM(Engine!C53:N53)</f>
        <v>90000</v>
      </c>
      <c r="C5" s="0" t="n">
        <f aca="false">Assumptions!$B$12*12*1.3</f>
        <v>234000</v>
      </c>
      <c r="D5" s="0" t="n">
        <f aca="false">C5*1.1</f>
        <v>257400</v>
      </c>
    </row>
    <row r="6" customFormat="false" ht="15" hidden="false" customHeight="false" outlineLevel="0" collapsed="false">
      <c r="A6" s="0" t="s">
        <v>310</v>
      </c>
      <c r="B6" s="0" t="n">
        <f aca="false">B3-B4-B5</f>
        <v>-77777.3312000001</v>
      </c>
      <c r="C6" s="0" t="n">
        <f aca="false">C3-C4-C5</f>
        <v>304803.22104</v>
      </c>
      <c r="D6" s="0" t="n">
        <f aca="false">D3-D4-D5</f>
        <v>439707.865248</v>
      </c>
    </row>
    <row r="8" customFormat="false" ht="15" hidden="false" customHeight="false" outlineLevel="0" collapsed="false">
      <c r="A8" s="6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5" min="3" style="0" width="16"/>
    <col collapsed="false" customWidth="true" hidden="false" outlineLevel="0" max="6" min="6" style="0" width="70"/>
  </cols>
  <sheetData>
    <row r="1" customFormat="false" ht="28.35" hidden="false" customHeight="false" outlineLevel="0" collapsed="false">
      <c r="A1" s="1" t="s">
        <v>312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317</v>
      </c>
    </row>
    <row r="2" customFormat="false" ht="15" hidden="false" customHeight="false" outlineLevel="0" collapsed="false">
      <c r="A2" s="0" t="s">
        <v>318</v>
      </c>
      <c r="B2" s="2" t="n">
        <v>10</v>
      </c>
      <c r="C2" s="2" t="n">
        <v>5</v>
      </c>
      <c r="D2" s="2" t="n">
        <v>3</v>
      </c>
      <c r="E2" s="2" t="n">
        <v>1</v>
      </c>
      <c r="F2" s="3" t="s">
        <v>319</v>
      </c>
    </row>
    <row r="3" customFormat="false" ht="15" hidden="false" customHeight="false" outlineLevel="0" collapsed="false">
      <c r="A3" s="0" t="s">
        <v>320</v>
      </c>
      <c r="B3" s="2" t="n">
        <v>6</v>
      </c>
      <c r="C3" s="2" t="n">
        <v>5</v>
      </c>
      <c r="D3" s="2" t="n">
        <v>3</v>
      </c>
      <c r="E3" s="2" t="n">
        <v>1</v>
      </c>
      <c r="F3" s="3" t="s">
        <v>321</v>
      </c>
    </row>
    <row r="4" customFormat="false" ht="15" hidden="false" customHeight="false" outlineLevel="0" collapsed="false">
      <c r="A4" s="0" t="s">
        <v>322</v>
      </c>
      <c r="B4" s="2" t="n">
        <v>8</v>
      </c>
      <c r="C4" s="2" t="n">
        <v>5</v>
      </c>
      <c r="D4" s="2" t="n">
        <v>3</v>
      </c>
      <c r="E4" s="2" t="n">
        <v>2</v>
      </c>
      <c r="F4" s="3" t="s">
        <v>323</v>
      </c>
    </row>
    <row r="5" customFormat="false" ht="15" hidden="false" customHeight="false" outlineLevel="0" collapsed="false">
      <c r="A5" s="0" t="s">
        <v>324</v>
      </c>
      <c r="B5" s="2" t="n">
        <v>8</v>
      </c>
      <c r="C5" s="2" t="n">
        <v>3</v>
      </c>
      <c r="D5" s="2" t="n">
        <v>4</v>
      </c>
      <c r="E5" s="2" t="n">
        <v>2</v>
      </c>
      <c r="F5" s="3" t="s">
        <v>325</v>
      </c>
    </row>
    <row r="6" customFormat="false" ht="15" hidden="false" customHeight="false" outlineLevel="0" collapsed="false">
      <c r="A6" s="0" t="s">
        <v>326</v>
      </c>
      <c r="B6" s="2" t="n">
        <v>8</v>
      </c>
      <c r="C6" s="2" t="n">
        <v>3</v>
      </c>
      <c r="D6" s="2" t="n">
        <v>3</v>
      </c>
      <c r="E6" s="2" t="n">
        <v>3</v>
      </c>
      <c r="F6" s="3" t="s">
        <v>327</v>
      </c>
    </row>
    <row r="7" customFormat="false" ht="15" hidden="false" customHeight="false" outlineLevel="0" collapsed="false">
      <c r="A7" s="0" t="s">
        <v>328</v>
      </c>
      <c r="B7" s="2" t="n">
        <v>6</v>
      </c>
      <c r="C7" s="2" t="n">
        <v>4</v>
      </c>
      <c r="D7" s="2" t="n">
        <v>3</v>
      </c>
      <c r="E7" s="2" t="n">
        <v>1</v>
      </c>
      <c r="F7" s="3" t="s">
        <v>329</v>
      </c>
    </row>
    <row r="8" customFormat="false" ht="15" hidden="false" customHeight="false" outlineLevel="0" collapsed="false">
      <c r="A8" s="0" t="s">
        <v>330</v>
      </c>
      <c r="B8" s="2" t="n">
        <v>8</v>
      </c>
      <c r="C8" s="2" t="n">
        <v>4</v>
      </c>
      <c r="D8" s="2" t="n">
        <v>3</v>
      </c>
      <c r="E8" s="2" t="n">
        <v>1</v>
      </c>
      <c r="F8" s="3" t="s">
        <v>331</v>
      </c>
    </row>
    <row r="9" customFormat="false" ht="15" hidden="false" customHeight="false" outlineLevel="0" collapsed="false">
      <c r="A9" s="0" t="s">
        <v>332</v>
      </c>
      <c r="B9" s="2" t="n">
        <v>7</v>
      </c>
      <c r="C9" s="2" t="n">
        <v>3</v>
      </c>
      <c r="D9" s="2" t="n">
        <v>3</v>
      </c>
      <c r="E9" s="2" t="n">
        <v>2</v>
      </c>
      <c r="F9" s="3" t="s">
        <v>333</v>
      </c>
    </row>
    <row r="10" customFormat="false" ht="15" hidden="false" customHeight="false" outlineLevel="0" collapsed="false">
      <c r="A10" s="0" t="s">
        <v>334</v>
      </c>
      <c r="B10" s="2" t="n">
        <v>4</v>
      </c>
      <c r="C10" s="2" t="n">
        <v>2</v>
      </c>
      <c r="D10" s="2" t="n">
        <v>4</v>
      </c>
      <c r="E10" s="2" t="n">
        <v>5</v>
      </c>
      <c r="F10" s="3" t="s">
        <v>335</v>
      </c>
    </row>
    <row r="11" customFormat="false" ht="15" hidden="false" customHeight="false" outlineLevel="0" collapsed="false">
      <c r="A11" s="0" t="s">
        <v>336</v>
      </c>
      <c r="B11" s="2" t="n">
        <v>6</v>
      </c>
      <c r="C11" s="2" t="n">
        <v>3</v>
      </c>
      <c r="D11" s="2" t="n">
        <v>4</v>
      </c>
      <c r="E11" s="2" t="n">
        <v>2</v>
      </c>
      <c r="F11" s="3" t="s">
        <v>337</v>
      </c>
    </row>
    <row r="12" customFormat="false" ht="15" hidden="false" customHeight="false" outlineLevel="0" collapsed="false">
      <c r="A12" s="0" t="s">
        <v>338</v>
      </c>
      <c r="B12" s="2" t="n">
        <v>5</v>
      </c>
      <c r="C12" s="2" t="n">
        <v>3</v>
      </c>
      <c r="D12" s="2" t="n">
        <v>3</v>
      </c>
      <c r="E12" s="2" t="n">
        <v>2</v>
      </c>
      <c r="F12" s="3" t="s">
        <v>339</v>
      </c>
    </row>
    <row r="13" customFormat="false" ht="15" hidden="false" customHeight="false" outlineLevel="0" collapsed="false">
      <c r="A13" s="0" t="s">
        <v>340</v>
      </c>
      <c r="B13" s="2" t="n">
        <v>5</v>
      </c>
      <c r="C13" s="2" t="n">
        <v>3</v>
      </c>
      <c r="D13" s="2" t="n">
        <v>3</v>
      </c>
      <c r="E13" s="2" t="n">
        <v>3</v>
      </c>
      <c r="F13" s="3" t="s">
        <v>341</v>
      </c>
    </row>
    <row r="14" customFormat="false" ht="15" hidden="false" customHeight="false" outlineLevel="0" collapsed="false">
      <c r="A14" s="0" t="s">
        <v>342</v>
      </c>
      <c r="B14" s="2" t="n">
        <v>5</v>
      </c>
      <c r="C14" s="2" t="n">
        <v>4</v>
      </c>
      <c r="D14" s="2" t="n">
        <v>3</v>
      </c>
      <c r="E14" s="2" t="n">
        <v>3</v>
      </c>
      <c r="F14" s="3" t="s">
        <v>343</v>
      </c>
    </row>
    <row r="15" customFormat="false" ht="15" hidden="false" customHeight="false" outlineLevel="0" collapsed="false">
      <c r="A15" s="0" t="s">
        <v>344</v>
      </c>
      <c r="B15" s="2" t="n">
        <v>6</v>
      </c>
      <c r="C15" s="2" t="n">
        <v>4</v>
      </c>
      <c r="D15" s="2" t="n">
        <v>3</v>
      </c>
      <c r="E15" s="2" t="n">
        <v>1</v>
      </c>
      <c r="F15" s="3" t="s">
        <v>345</v>
      </c>
    </row>
    <row r="16" customFormat="false" ht="15" hidden="false" customHeight="false" outlineLevel="0" collapsed="false">
      <c r="A16" s="0" t="s">
        <v>346</v>
      </c>
      <c r="B16" s="2" t="n">
        <v>8</v>
      </c>
      <c r="C16" s="2" t="n">
        <v>5</v>
      </c>
      <c r="D16" s="2" t="n">
        <v>3</v>
      </c>
      <c r="E16" s="2" t="n">
        <v>1</v>
      </c>
      <c r="F16" s="3" t="s">
        <v>347</v>
      </c>
    </row>
    <row r="17" customFormat="false" ht="15" hidden="false" customHeight="false" outlineLevel="0" collapsed="false">
      <c r="A17" s="5" t="s">
        <v>348</v>
      </c>
      <c r="C17" s="3" t="n">
        <f aca="false">SUMPRODUCT($B$2:$B$16,C2:C16)/SUM($B$2:$B$16)</f>
        <v>3.85</v>
      </c>
      <c r="D17" s="3" t="n">
        <f aca="false">SUMPRODUCT($B$2:$B$16,D2:D16)/SUM($B$2:$B$16)</f>
        <v>3.18</v>
      </c>
      <c r="E17" s="3" t="n">
        <f aca="false">SUMPRODUCT($B$2:$B$16,E2:E16)/SUM($B$2:$B$16)</f>
        <v>1.86</v>
      </c>
    </row>
    <row r="18" customFormat="false" ht="15" hidden="false" customHeight="false" outlineLevel="0" collapsed="false">
      <c r="A18" s="0" t="s">
        <v>349</v>
      </c>
      <c r="B18" s="0" t="n">
        <f aca="false">SUM(B2:B16)</f>
        <v>100</v>
      </c>
    </row>
    <row r="19" customFormat="false" ht="15" hidden="false" customHeight="false" outlineLevel="0" collapsed="false">
      <c r="A19" s="0" t="s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1" t="s">
        <v>351</v>
      </c>
      <c r="B1" s="1" t="s">
        <v>352</v>
      </c>
    </row>
    <row r="2" customFormat="false" ht="15" hidden="false" customHeight="false" outlineLevel="0" collapsed="false">
      <c r="A2" s="0" t="s">
        <v>353</v>
      </c>
      <c r="B2" s="0" t="str">
        <f aca="false">IF(Capital_Allocation!$C$17=Assumptions!$B$2,"OK","ERROR")</f>
        <v>OK</v>
      </c>
    </row>
    <row r="3" customFormat="false" ht="15" hidden="false" customHeight="false" outlineLevel="0" collapsed="false">
      <c r="A3" s="0" t="s">
        <v>354</v>
      </c>
      <c r="B3" s="0" t="str">
        <f aca="false">IF(Capital_Allocation!$C$17&lt;=Assumptions!$B$2,"OK","ERROR")</f>
        <v>OK</v>
      </c>
    </row>
    <row r="4" customFormat="false" ht="15" hidden="false" customHeight="false" outlineLevel="0" collapsed="false">
      <c r="A4" s="0" t="s">
        <v>355</v>
      </c>
      <c r="B4" s="0" t="str">
        <f aca="false">IF(Capital_Allocation!B17&lt;=Assumptions!$B$2,"OK","ERROR")</f>
        <v>OK</v>
      </c>
    </row>
    <row r="5" customFormat="false" ht="15" hidden="false" customHeight="false" outlineLevel="0" collapsed="false">
      <c r="A5" s="0" t="s">
        <v>356</v>
      </c>
      <c r="B5" s="0" t="n">
        <f aca="false">Capital_Allocation!C430/Capital_Allocation!$C$17</f>
        <v>0</v>
      </c>
    </row>
    <row r="6" customFormat="false" ht="15" hidden="false" customHeight="false" outlineLevel="0" collapsed="false">
      <c r="A6" s="0" t="s">
        <v>357</v>
      </c>
      <c r="B6" s="0" t="n">
        <f aca="false">(Capital_Allocation!$C$15+Capital_Allocation!$C$16)/Capital_Allocation!$C$17</f>
        <v>0.47</v>
      </c>
    </row>
    <row r="7" customFormat="false" ht="15" hidden="false" customHeight="false" outlineLevel="0" collapsed="false">
      <c r="A7" s="0" t="s">
        <v>358</v>
      </c>
      <c r="B7" s="0" t="str">
        <f aca="false">IF(Model_Comparison!B18=100,"OK","ERROR")</f>
        <v>OK</v>
      </c>
    </row>
    <row r="8" customFormat="false" ht="15" hidden="false" customHeight="false" outlineLevel="0" collapsed="false">
      <c r="A8" s="0" t="s">
        <v>359</v>
      </c>
      <c r="B8" s="0" t="str">
        <f aca="false">IF(ABS(Engine!N58-(Capital_Allocation!$C$20+SUM(Engine!C57:N57)))&lt;0.01,"OK","ERROR")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7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360</v>
      </c>
      <c r="B1" s="1" t="s">
        <v>361</v>
      </c>
      <c r="C1" s="1" t="s">
        <v>362</v>
      </c>
      <c r="D1" s="1" t="s">
        <v>149</v>
      </c>
    </row>
    <row r="2" customFormat="false" ht="15" hidden="false" customHeight="false" outlineLevel="0" collapsed="false">
      <c r="A2" s="0" t="s">
        <v>363</v>
      </c>
      <c r="B2" s="0" t="s">
        <v>364</v>
      </c>
      <c r="C2" s="0" t="s">
        <v>365</v>
      </c>
      <c r="D2" s="0" t="s">
        <v>366</v>
      </c>
    </row>
    <row r="3" customFormat="false" ht="15" hidden="false" customHeight="false" outlineLevel="0" collapsed="false">
      <c r="A3" s="0" t="s">
        <v>367</v>
      </c>
      <c r="B3" s="0" t="s">
        <v>368</v>
      </c>
      <c r="C3" s="0" t="s">
        <v>369</v>
      </c>
      <c r="D3" s="0" t="s">
        <v>370</v>
      </c>
    </row>
    <row r="4" customFormat="false" ht="15" hidden="false" customHeight="false" outlineLevel="0" collapsed="false">
      <c r="A4" s="0" t="s">
        <v>371</v>
      </c>
      <c r="B4" s="0" t="s">
        <v>372</v>
      </c>
      <c r="C4" s="0" t="s">
        <v>373</v>
      </c>
      <c r="D4" s="0" t="s">
        <v>370</v>
      </c>
    </row>
    <row r="5" customFormat="false" ht="15" hidden="false" customHeight="false" outlineLevel="0" collapsed="false">
      <c r="A5" s="0" t="s">
        <v>374</v>
      </c>
      <c r="B5" s="0" t="s">
        <v>375</v>
      </c>
      <c r="C5" s="0" t="s">
        <v>376</v>
      </c>
      <c r="D5" s="0" t="s">
        <v>156</v>
      </c>
    </row>
    <row r="6" customFormat="false" ht="15" hidden="false" customHeight="false" outlineLevel="0" collapsed="false">
      <c r="A6" s="0" t="s">
        <v>377</v>
      </c>
      <c r="B6" s="0" t="s">
        <v>378</v>
      </c>
      <c r="C6" s="0" t="s">
        <v>379</v>
      </c>
      <c r="D6" s="0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2026-10-23T04:59:21Z</dcterms:created>
  <dc:creator>openpyxl</dc:creator>
  <dc:description/>
  <dc:language>en-US</dc:language>
  <cp:lastModifiedBy/>
  <dcterms:modified xsi:type="dcterms:W3CDTF">2026-10-23T04:59:21Z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